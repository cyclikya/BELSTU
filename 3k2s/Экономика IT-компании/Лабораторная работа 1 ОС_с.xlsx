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General\BELSTU\3k2s\Экономика IT-компании\"/>
    </mc:Choice>
  </mc:AlternateContent>
  <bookViews>
    <workbookView xWindow="0" yWindow="0" windowWidth="18252" windowHeight="6768"/>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1" l="1"/>
  <c r="M23" i="1"/>
  <c r="C21" i="9" l="1"/>
  <c r="C22" i="9"/>
  <c r="C23" i="9"/>
  <c r="C24" i="9"/>
  <c r="C19" i="9"/>
  <c r="C9" i="9"/>
  <c r="C10" i="9"/>
  <c r="C11" i="9"/>
  <c r="O15" i="7"/>
  <c r="O16" i="7"/>
  <c r="O17" i="7"/>
  <c r="O18" i="7"/>
  <c r="O19" i="7"/>
  <c r="O3" i="7"/>
  <c r="O4" i="7"/>
  <c r="O5" i="7"/>
  <c r="O6" i="7"/>
  <c r="O7" i="7"/>
  <c r="O9" i="7"/>
  <c r="O10" i="7"/>
  <c r="O11" i="7"/>
  <c r="O12" i="7"/>
  <c r="O13" i="7"/>
  <c r="C17" i="3"/>
  <c r="C20" i="3" s="1"/>
  <c r="L16" i="1"/>
  <c r="L17" i="1"/>
  <c r="L18" i="1"/>
  <c r="L19" i="1"/>
  <c r="L20" i="1"/>
  <c r="L21" i="1"/>
  <c r="L22" i="1"/>
  <c r="K17" i="1"/>
  <c r="K18" i="1"/>
  <c r="K23" i="1" s="1"/>
  <c r="K19" i="1"/>
  <c r="K20" i="1"/>
  <c r="K21" i="1"/>
  <c r="K22" i="1"/>
  <c r="J17" i="1"/>
  <c r="J18" i="1"/>
  <c r="J19" i="1"/>
  <c r="J20" i="1"/>
  <c r="J21" i="1"/>
  <c r="J22" i="1"/>
  <c r="J16" i="1"/>
  <c r="J23" i="1" s="1"/>
  <c r="I22" i="1"/>
  <c r="I17" i="1"/>
  <c r="I18" i="1"/>
  <c r="I19" i="1"/>
  <c r="I20" i="1"/>
  <c r="I21" i="1"/>
  <c r="I16" i="1"/>
  <c r="I23" i="1" s="1"/>
  <c r="N23" i="1"/>
  <c r="F23" i="1"/>
  <c r="F12" i="1"/>
  <c r="C23" i="1"/>
  <c r="C12" i="1"/>
  <c r="B23" i="1"/>
  <c r="B12" i="1"/>
  <c r="C18" i="3" l="1"/>
  <c r="L23" i="1"/>
  <c r="P23" i="1" s="1"/>
  <c r="O23" i="1" l="1"/>
</calcChain>
</file>

<file path=xl/sharedStrings.xml><?xml version="1.0" encoding="utf-8"?>
<sst xmlns="http://schemas.openxmlformats.org/spreadsheetml/2006/main" count="394" uniqueCount="142">
  <si>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</si>
  <si>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</si>
  <si>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</si>
  <si>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</si>
  <si>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</si>
  <si>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</si>
  <si>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</si>
  <si>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</si>
  <si>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</si>
  <si>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</si>
  <si>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</si>
  <si>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</si>
  <si>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</si>
  <si>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</si>
  <si>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</si>
  <si>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</si>
  <si>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</si>
  <si>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</si>
  <si>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</si>
  <si>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</si>
  <si>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</si>
  <si>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</si>
  <si>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</si>
  <si>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</si>
  <si>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</si>
  <si>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</si>
  <si>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</si>
  <si>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</si>
  <si>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</si>
  <si>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</si>
  <si>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</si>
  <si>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</si>
  <si>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</si>
  <si>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</si>
  <si>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</si>
  <si>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</si>
  <si>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</si>
  <si>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</si>
  <si>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</si>
  <si>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</si>
  <si>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</si>
  <si>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</si>
  <si>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</si>
  <si>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</si>
  <si>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</si>
  <si>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</si>
  <si>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</si>
  <si>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</si>
  <si>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</si>
  <si>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</si>
  <si>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</si>
  <si>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</si>
  <si>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</si>
  <si>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</si>
  <si>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</si>
  <si>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</si>
  <si>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</si>
  <si>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</si>
  <si>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</si>
  <si>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</si>
  <si>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</si>
  <si>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</si>
  <si>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</si>
  <si>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</si>
  <si>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</si>
  <si>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</si>
  <si>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</si>
  <si>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</si>
  <si>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</si>
  <si>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t>Коэффициент износа</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</si>
  <si>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</si>
  <si>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</si>
  <si>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</si>
  <si>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</si>
  <si>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</si>
  <si>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</si>
  <si>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</si>
  <si>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</si>
  <si>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</si>
  <si>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</si>
  <si>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</si>
  <si>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</si>
  <si>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</si>
  <si>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</si>
  <si>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</si>
  <si>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</si>
  <si>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</si>
  <si>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</si>
  <si>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</si>
  <si>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</si>
  <si>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</si>
  <si>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</si>
  <si>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</si>
  <si>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</si>
  <si>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</si>
  <si>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</si>
  <si>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</si>
  <si>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</si>
  <si>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</si>
  <si>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</si>
  <si>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</si>
  <si>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</si>
  <si>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</si>
  <si>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</si>
  <si>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</si>
  <si>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</si>
  <si>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</si>
  <si>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</si>
  <si>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</si>
  <si>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</si>
  <si>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</si>
  <si>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t>Средний фактический срок эксплуатации, лет</t>
  </si>
  <si>
    <r>
      <t xml:space="preserve">4. Рассчитывается коэффицент износа Кизн за </t>
    </r>
    <r>
      <rPr>
        <i/>
        <sz val="12"/>
        <color theme="1"/>
        <rFont val="Calibri"/>
        <family val="2"/>
        <charset val="204"/>
        <scheme val="minor"/>
      </rPr>
      <t>фактический период эксплуатации</t>
    </r>
  </si>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</sst>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
    <numFmt numFmtId="165" formatCode="[$-419]d\ mmm;@"/>
    <numFmt numFmtId="166" formatCode="0.0"/>
  </numFmts>
  <fonts count="28"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5">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13" fillId="3" borderId="3" xfId="0" applyFont="1" applyFill="1" applyBorder="1" applyAlignment="1">
      <alignment horizontal="center"/>
    </xf>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1" fillId="3" borderId="3" xfId="0" applyFont="1" applyFill="1" applyBorder="1"/>
    <xf numFmtId="164" fontId="1" fillId="3" borderId="3" xfId="0" applyNumberFormat="1" applyFont="1" applyFill="1" applyBorder="1" applyAlignment="1">
      <alignment horizontal="center"/>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2" fontId="0" fillId="0" borderId="0" xfId="0" applyNumberFormat="1"/>
    <xf numFmtId="0" fontId="8" fillId="0" borderId="4" xfId="0" applyFont="1"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166" fontId="13" fillId="0" borderId="3" xfId="0" applyNumberFormat="1" applyFont="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3" fillId="0" borderId="3" xfId="0" applyFont="1" applyBorder="1"/>
    <xf numFmtId="1" fontId="8" fillId="0" borderId="3" xfId="0" applyNumberFormat="1" applyFont="1" applyFill="1" applyBorder="1" applyAlignment="1">
      <alignment horizontal="center"/>
    </xf>
    <xf numFmtId="0" fontId="8" fillId="0" borderId="3" xfId="0" applyFont="1" applyFill="1" applyBorder="1"/>
    <xf numFmtId="0" fontId="8" fillId="0" borderId="10" xfId="0" applyFont="1" applyBorder="1"/>
    <xf numFmtId="0" fontId="8" fillId="4" borderId="11" xfId="0" applyFont="1" applyFill="1" applyBorder="1"/>
    <xf numFmtId="0" fontId="9" fillId="0" borderId="12" xfId="0" applyFont="1" applyBorder="1"/>
    <xf numFmtId="1" fontId="9" fillId="0" borderId="13" xfId="0" applyNumberFormat="1" applyFont="1" applyBorder="1" applyAlignment="1">
      <alignment horizontal="center"/>
    </xf>
    <xf numFmtId="0" fontId="9" fillId="0" borderId="13" xfId="0" applyFont="1" applyBorder="1" applyAlignment="1">
      <alignment horizontal="center"/>
    </xf>
    <xf numFmtId="0" fontId="8" fillId="4" borderId="13" xfId="0" applyFont="1" applyFill="1" applyBorder="1"/>
    <xf numFmtId="2" fontId="9" fillId="0" borderId="13" xfId="0" applyNumberFormat="1" applyFont="1" applyBorder="1" applyAlignment="1">
      <alignment horizontal="center"/>
    </xf>
    <xf numFmtId="164" fontId="9" fillId="0" borderId="13" xfId="0" applyNumberFormat="1" applyFont="1" applyBorder="1" applyAlignment="1">
      <alignment horizontal="center"/>
    </xf>
    <xf numFmtId="2" fontId="9" fillId="0" borderId="14" xfId="0" applyNumberFormat="1" applyFont="1" applyBorder="1" applyAlignment="1">
      <alignment horizontal="center"/>
    </xf>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2" fontId="8" fillId="2" borderId="6" xfId="0" applyNumberFormat="1" applyFont="1" applyFill="1" applyBorder="1" applyAlignment="1">
      <alignment horizontal="center" wrapText="1"/>
    </xf>
    <xf numFmtId="2" fontId="8" fillId="2" borderId="7" xfId="0" applyNumberFormat="1" applyFont="1" applyFill="1" applyBorder="1" applyAlignment="1">
      <alignment horizontal="center" wrapText="1"/>
    </xf>
    <xf numFmtId="2" fontId="8" fillId="2" borderId="9" xfId="0" applyNumberFormat="1" applyFont="1" applyFill="1" applyBorder="1" applyAlignment="1">
      <alignment horizontal="center" wrapText="1"/>
    </xf>
    <xf numFmtId="2" fontId="8" fillId="2" borderId="5" xfId="0" applyNumberFormat="1" applyFont="1" applyFill="1" applyBorder="1" applyAlignment="1">
      <alignment horizontal="center" wrapText="1"/>
    </xf>
    <xf numFmtId="2" fontId="8" fillId="2" borderId="8"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xf numFmtId="0" fontId="0" fillId="0" borderId="0" xfId="0" applyAlignment="1">
      <alignment horizontal="lef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11"/>
  <sheetViews>
    <sheetView tabSelected="1" topLeftCell="G1" zoomScale="89" workbookViewId="0">
      <selection activeCell="U14" sqref="U14:AE25"/>
    </sheetView>
  </sheetViews>
  <sheetFormatPr defaultRowHeight="14.4" x14ac:dyDescent="0.3"/>
  <cols>
    <col min="1" max="1" width="28.44140625" customWidth="1"/>
    <col min="3" max="3" width="12.21875" customWidth="1"/>
    <col min="5" max="5" width="10.77734375" customWidth="1"/>
    <col min="6" max="6" width="9.88671875" customWidth="1"/>
    <col min="8" max="8" width="10.77734375" customWidth="1"/>
    <col min="16" max="16" width="9.88671875" customWidth="1"/>
  </cols>
  <sheetData>
    <row r="1" spans="1:31" ht="15.6" x14ac:dyDescent="0.3">
      <c r="A1" s="7" t="s">
        <v>28</v>
      </c>
      <c r="B1" s="8"/>
      <c r="C1" s="8"/>
      <c r="D1" s="8"/>
      <c r="E1" s="8"/>
      <c r="F1" s="8"/>
      <c r="G1" s="8"/>
      <c r="H1" s="8"/>
      <c r="I1" s="9"/>
      <c r="J1" s="9"/>
    </row>
    <row r="2" spans="1:31" x14ac:dyDescent="0.3">
      <c r="A2" s="10" t="s">
        <v>1</v>
      </c>
    </row>
    <row r="3" spans="1:31" x14ac:dyDescent="0.3">
      <c r="A3" s="73" t="s">
        <v>2</v>
      </c>
      <c r="B3" s="73" t="s">
        <v>3</v>
      </c>
      <c r="C3" s="73" t="s">
        <v>34</v>
      </c>
      <c r="D3" s="73" t="s">
        <v>4</v>
      </c>
      <c r="E3" s="73" t="s">
        <v>5</v>
      </c>
      <c r="F3" s="73" t="s">
        <v>35</v>
      </c>
      <c r="G3" s="73" t="s">
        <v>6</v>
      </c>
      <c r="H3" s="73" t="s">
        <v>7</v>
      </c>
      <c r="I3" s="73" t="s">
        <v>8</v>
      </c>
      <c r="J3" s="73" t="s">
        <v>9</v>
      </c>
      <c r="K3" s="73" t="s">
        <v>10</v>
      </c>
      <c r="L3" s="73" t="s">
        <v>11</v>
      </c>
      <c r="M3" s="73" t="s">
        <v>12</v>
      </c>
      <c r="N3" s="73" t="s">
        <v>13</v>
      </c>
      <c r="O3" s="73" t="s">
        <v>14</v>
      </c>
      <c r="P3" s="73" t="s">
        <v>15</v>
      </c>
    </row>
    <row r="4" spans="1:31" ht="40.799999999999997" customHeight="1" x14ac:dyDescent="0.3">
      <c r="A4" s="74"/>
      <c r="B4" s="74"/>
      <c r="C4" s="74"/>
      <c r="D4" s="74"/>
      <c r="E4" s="74"/>
      <c r="F4" s="74"/>
      <c r="G4" s="74"/>
      <c r="H4" s="74"/>
      <c r="I4" s="74"/>
      <c r="J4" s="74"/>
      <c r="K4" s="74"/>
      <c r="L4" s="74"/>
      <c r="M4" s="74"/>
      <c r="N4" s="74"/>
      <c r="O4" s="74"/>
      <c r="P4" s="74"/>
    </row>
    <row r="5" spans="1:31" x14ac:dyDescent="0.3">
      <c r="A5" s="11" t="s">
        <v>16</v>
      </c>
      <c r="B5" s="12">
        <v>3100</v>
      </c>
      <c r="C5" s="12">
        <v>0</v>
      </c>
      <c r="D5" s="13">
        <v>0</v>
      </c>
      <c r="E5" s="12"/>
      <c r="F5" s="13">
        <v>24</v>
      </c>
      <c r="G5" s="14">
        <v>44986</v>
      </c>
      <c r="H5" s="12"/>
      <c r="I5" s="15"/>
      <c r="J5" s="12"/>
      <c r="K5" s="15"/>
      <c r="L5" s="62"/>
      <c r="M5" s="16"/>
      <c r="N5" s="16"/>
      <c r="O5" s="16"/>
      <c r="P5" s="16"/>
    </row>
    <row r="6" spans="1:31" x14ac:dyDescent="0.3">
      <c r="A6" s="11" t="s">
        <v>17</v>
      </c>
      <c r="B6" s="12">
        <v>200</v>
      </c>
      <c r="C6" s="12">
        <v>5</v>
      </c>
      <c r="D6" s="14">
        <v>44958</v>
      </c>
      <c r="E6" s="12"/>
      <c r="F6" s="13">
        <v>5</v>
      </c>
      <c r="G6" s="14">
        <v>45017</v>
      </c>
      <c r="H6" s="12"/>
      <c r="I6" s="15"/>
      <c r="J6" s="12"/>
      <c r="K6" s="15"/>
      <c r="L6" s="62"/>
      <c r="M6" s="16"/>
      <c r="N6" s="16"/>
      <c r="O6" s="16"/>
      <c r="P6" s="16"/>
    </row>
    <row r="7" spans="1:31" x14ac:dyDescent="0.3">
      <c r="A7" s="63" t="s">
        <v>18</v>
      </c>
      <c r="B7" s="12">
        <v>960</v>
      </c>
      <c r="C7" s="12">
        <v>16</v>
      </c>
      <c r="D7" s="14">
        <v>45047</v>
      </c>
      <c r="E7" s="12"/>
      <c r="F7" s="13">
        <v>16</v>
      </c>
      <c r="G7" s="14">
        <v>45139</v>
      </c>
      <c r="H7" s="12"/>
      <c r="I7" s="15"/>
      <c r="J7" s="12"/>
      <c r="K7" s="15"/>
      <c r="L7" s="62"/>
      <c r="M7" s="16"/>
      <c r="N7" s="16"/>
      <c r="O7" s="16"/>
      <c r="P7" s="16"/>
    </row>
    <row r="8" spans="1:31" x14ac:dyDescent="0.3">
      <c r="A8" s="63" t="s">
        <v>19</v>
      </c>
      <c r="B8" s="12">
        <v>240</v>
      </c>
      <c r="C8" s="12">
        <v>10</v>
      </c>
      <c r="D8" s="14">
        <v>45139</v>
      </c>
      <c r="E8" s="12"/>
      <c r="F8" s="13">
        <v>17</v>
      </c>
      <c r="G8" s="14">
        <v>45170</v>
      </c>
      <c r="H8" s="12"/>
      <c r="I8" s="15"/>
      <c r="J8" s="12"/>
      <c r="K8" s="15"/>
      <c r="L8" s="62"/>
      <c r="M8" s="16"/>
      <c r="N8" s="16"/>
      <c r="O8" s="16"/>
      <c r="P8" s="16"/>
    </row>
    <row r="9" spans="1:31" x14ac:dyDescent="0.3">
      <c r="A9" s="63" t="s">
        <v>20</v>
      </c>
      <c r="B9" s="12">
        <v>400</v>
      </c>
      <c r="C9" s="12">
        <v>12</v>
      </c>
      <c r="D9" s="14">
        <v>45108</v>
      </c>
      <c r="E9" s="12"/>
      <c r="F9" s="13">
        <v>11</v>
      </c>
      <c r="G9" s="14">
        <v>44958</v>
      </c>
      <c r="H9" s="12"/>
      <c r="I9" s="15"/>
      <c r="J9" s="12"/>
      <c r="K9" s="15"/>
      <c r="L9" s="62"/>
      <c r="M9" s="16"/>
      <c r="N9" s="16"/>
      <c r="O9" s="16"/>
      <c r="P9" s="16"/>
    </row>
    <row r="10" spans="1:31" x14ac:dyDescent="0.3">
      <c r="A10" s="63" t="s">
        <v>21</v>
      </c>
      <c r="B10" s="12">
        <v>620</v>
      </c>
      <c r="C10" s="12">
        <v>3</v>
      </c>
      <c r="D10" s="14">
        <v>45200</v>
      </c>
      <c r="E10" s="12"/>
      <c r="F10" s="13">
        <v>9</v>
      </c>
      <c r="G10" s="14">
        <v>45047</v>
      </c>
      <c r="H10" s="12"/>
      <c r="I10" s="15"/>
      <c r="J10" s="12"/>
      <c r="K10" s="15"/>
      <c r="L10" s="62"/>
      <c r="M10" s="16"/>
      <c r="N10" s="16"/>
      <c r="O10" s="16"/>
      <c r="P10" s="16"/>
    </row>
    <row r="11" spans="1:31" x14ac:dyDescent="0.3">
      <c r="A11" s="11" t="s">
        <v>22</v>
      </c>
      <c r="B11" s="12">
        <v>95</v>
      </c>
      <c r="C11" s="12">
        <v>0</v>
      </c>
      <c r="D11" s="14">
        <v>45170</v>
      </c>
      <c r="E11" s="12"/>
      <c r="F11" s="13">
        <v>8</v>
      </c>
      <c r="G11" s="14">
        <v>45231</v>
      </c>
      <c r="H11" s="12"/>
      <c r="I11" s="15"/>
      <c r="J11" s="12"/>
      <c r="K11" s="15"/>
      <c r="L11" s="62"/>
      <c r="M11" s="16"/>
      <c r="N11" s="16"/>
      <c r="O11" s="16"/>
      <c r="P11" s="16"/>
    </row>
    <row r="12" spans="1:31" x14ac:dyDescent="0.3">
      <c r="A12" s="17" t="s">
        <v>23</v>
      </c>
      <c r="B12" s="18">
        <f>SUM(B5:B11)</f>
        <v>5615</v>
      </c>
      <c r="C12" s="18">
        <f>SUM(C5:C11)</f>
        <v>46</v>
      </c>
      <c r="D12" s="16"/>
      <c r="E12" s="16"/>
      <c r="F12" s="18">
        <f>SUM(F5:F11)</f>
        <v>90</v>
      </c>
      <c r="G12" s="16"/>
      <c r="H12" s="16"/>
      <c r="I12" s="19"/>
      <c r="J12" s="18"/>
      <c r="K12" s="18"/>
      <c r="L12" s="18"/>
      <c r="M12" s="20"/>
      <c r="N12" s="20"/>
      <c r="O12" s="19"/>
      <c r="P12" s="19"/>
    </row>
    <row r="13" spans="1:31" ht="15" thickBot="1" x14ac:dyDescent="0.35">
      <c r="A13" s="10" t="s">
        <v>24</v>
      </c>
    </row>
    <row r="14" spans="1:31" ht="13.95" customHeight="1" x14ac:dyDescent="0.3">
      <c r="A14" s="78" t="s">
        <v>2</v>
      </c>
      <c r="B14" s="75" t="s">
        <v>3</v>
      </c>
      <c r="C14" s="75" t="s">
        <v>34</v>
      </c>
      <c r="D14" s="75" t="s">
        <v>4</v>
      </c>
      <c r="E14" s="75" t="s">
        <v>5</v>
      </c>
      <c r="F14" s="75" t="s">
        <v>35</v>
      </c>
      <c r="G14" s="75" t="s">
        <v>6</v>
      </c>
      <c r="H14" s="75" t="s">
        <v>7</v>
      </c>
      <c r="I14" s="75" t="s">
        <v>8</v>
      </c>
      <c r="J14" s="75" t="s">
        <v>9</v>
      </c>
      <c r="K14" s="75" t="s">
        <v>10</v>
      </c>
      <c r="L14" s="75" t="s">
        <v>11</v>
      </c>
      <c r="M14" s="75" t="s">
        <v>12</v>
      </c>
      <c r="N14" s="75" t="s">
        <v>13</v>
      </c>
      <c r="O14" s="75" t="s">
        <v>14</v>
      </c>
      <c r="P14" s="76" t="s">
        <v>15</v>
      </c>
      <c r="R14">
        <v>1</v>
      </c>
      <c r="S14">
        <v>12</v>
      </c>
      <c r="U14" s="84"/>
      <c r="V14" s="84"/>
      <c r="W14" s="84"/>
      <c r="X14" s="84"/>
      <c r="Y14" s="84"/>
      <c r="Z14" s="84"/>
      <c r="AA14" s="84"/>
      <c r="AB14" s="84"/>
      <c r="AC14" s="84"/>
      <c r="AD14" s="84"/>
      <c r="AE14" s="84"/>
    </row>
    <row r="15" spans="1:31" ht="35.549999999999997" customHeight="1" x14ac:dyDescent="0.3">
      <c r="A15" s="79"/>
      <c r="B15" s="74"/>
      <c r="C15" s="74"/>
      <c r="D15" s="74"/>
      <c r="E15" s="74"/>
      <c r="F15" s="74"/>
      <c r="G15" s="74"/>
      <c r="H15" s="74"/>
      <c r="I15" s="74"/>
      <c r="J15" s="74"/>
      <c r="K15" s="74"/>
      <c r="L15" s="74"/>
      <c r="M15" s="74"/>
      <c r="N15" s="74"/>
      <c r="O15" s="74"/>
      <c r="P15" s="77"/>
      <c r="R15">
        <v>2</v>
      </c>
      <c r="S15">
        <v>11</v>
      </c>
      <c r="U15" s="84"/>
      <c r="V15" s="84"/>
      <c r="W15" s="84"/>
      <c r="X15" s="84"/>
      <c r="Y15" s="84"/>
      <c r="Z15" s="84"/>
      <c r="AA15" s="84"/>
      <c r="AB15" s="84"/>
      <c r="AC15" s="84"/>
      <c r="AD15" s="84"/>
      <c r="AE15" s="84"/>
    </row>
    <row r="16" spans="1:31" x14ac:dyDescent="0.3">
      <c r="A16" s="64" t="s">
        <v>16</v>
      </c>
      <c r="B16" s="13">
        <v>950</v>
      </c>
      <c r="C16" s="13">
        <v>0</v>
      </c>
      <c r="D16" s="13">
        <v>0</v>
      </c>
      <c r="E16" s="12">
        <v>0</v>
      </c>
      <c r="F16" s="13">
        <v>42</v>
      </c>
      <c r="G16" s="14">
        <v>44958</v>
      </c>
      <c r="H16" s="12">
        <v>11</v>
      </c>
      <c r="I16" s="15">
        <f>B16/$B$23*100</f>
        <v>17.887403502165316</v>
      </c>
      <c r="J16" s="12">
        <f>B16+C16-F16</f>
        <v>908</v>
      </c>
      <c r="K16" s="15">
        <f>J16/$J$23*100</f>
        <v>16.554238833181405</v>
      </c>
      <c r="L16" s="12">
        <f>B16+C16*(E16/12)-F16*((12-H16)/12)</f>
        <v>946.5</v>
      </c>
      <c r="M16" s="16"/>
      <c r="N16" s="16"/>
      <c r="O16" s="16"/>
      <c r="P16" s="65"/>
      <c r="R16">
        <v>3</v>
      </c>
      <c r="S16">
        <v>10</v>
      </c>
      <c r="U16" s="84"/>
      <c r="V16" s="84"/>
      <c r="W16" s="84"/>
      <c r="X16" s="84"/>
      <c r="Y16" s="84"/>
      <c r="Z16" s="84"/>
      <c r="AA16" s="84"/>
      <c r="AB16" s="84"/>
      <c r="AC16" s="84"/>
      <c r="AD16" s="84"/>
      <c r="AE16" s="84"/>
    </row>
    <row r="17" spans="1:31" x14ac:dyDescent="0.3">
      <c r="A17" s="64" t="s">
        <v>17</v>
      </c>
      <c r="B17" s="13">
        <v>236</v>
      </c>
      <c r="C17" s="13">
        <v>13</v>
      </c>
      <c r="D17" s="14">
        <v>44986</v>
      </c>
      <c r="E17" s="12">
        <v>10</v>
      </c>
      <c r="F17" s="13">
        <v>30</v>
      </c>
      <c r="G17" s="14">
        <v>45139</v>
      </c>
      <c r="H17" s="12">
        <v>5</v>
      </c>
      <c r="I17" s="15">
        <f t="shared" ref="I17:I21" si="0">B17/$B$23*100</f>
        <v>4.4436076068536998</v>
      </c>
      <c r="J17" s="12">
        <f t="shared" ref="J17:J22" si="1">B17+C17-F17</f>
        <v>219</v>
      </c>
      <c r="K17" s="15">
        <f t="shared" ref="K17:K22" si="2">J17/$J$23*100</f>
        <v>3.9927073837739289</v>
      </c>
      <c r="L17" s="12">
        <f t="shared" ref="L17:L22" si="3">B17+C17*(E17/12)-F17*((12-H17)/12)</f>
        <v>229.33333333333334</v>
      </c>
      <c r="M17" s="16"/>
      <c r="N17" s="16"/>
      <c r="O17" s="16"/>
      <c r="P17" s="65"/>
      <c r="R17">
        <v>4</v>
      </c>
      <c r="S17">
        <v>9</v>
      </c>
      <c r="U17" s="84"/>
      <c r="V17" s="84"/>
      <c r="W17" s="84"/>
      <c r="X17" s="84"/>
      <c r="Y17" s="84"/>
      <c r="Z17" s="84"/>
      <c r="AA17" s="84"/>
      <c r="AB17" s="84"/>
      <c r="AC17" s="84"/>
      <c r="AD17" s="84"/>
      <c r="AE17" s="84"/>
    </row>
    <row r="18" spans="1:31" x14ac:dyDescent="0.3">
      <c r="A18" s="64" t="s">
        <v>18</v>
      </c>
      <c r="B18" s="13">
        <v>2700</v>
      </c>
      <c r="C18" s="13">
        <v>232</v>
      </c>
      <c r="D18" s="14">
        <v>45047</v>
      </c>
      <c r="E18" s="12">
        <v>8</v>
      </c>
      <c r="F18" s="13">
        <v>15</v>
      </c>
      <c r="G18" s="14">
        <v>45078</v>
      </c>
      <c r="H18" s="12">
        <v>7</v>
      </c>
      <c r="I18" s="15">
        <f t="shared" si="0"/>
        <v>50.837883637733007</v>
      </c>
      <c r="J18" s="12">
        <f t="shared" si="1"/>
        <v>2917</v>
      </c>
      <c r="K18" s="15">
        <f t="shared" si="2"/>
        <v>53.181403828623516</v>
      </c>
      <c r="L18" s="12">
        <f t="shared" si="3"/>
        <v>2848.4166666666665</v>
      </c>
      <c r="M18" s="16"/>
      <c r="N18" s="16"/>
      <c r="O18" s="16"/>
      <c r="P18" s="65"/>
      <c r="R18">
        <v>5</v>
      </c>
      <c r="S18">
        <v>8</v>
      </c>
      <c r="U18" s="84"/>
      <c r="V18" s="84"/>
      <c r="W18" s="84"/>
      <c r="X18" s="84"/>
      <c r="Y18" s="84"/>
      <c r="Z18" s="84"/>
      <c r="AA18" s="84"/>
      <c r="AB18" s="84"/>
      <c r="AC18" s="84"/>
      <c r="AD18" s="84"/>
      <c r="AE18" s="84"/>
    </row>
    <row r="19" spans="1:31" x14ac:dyDescent="0.3">
      <c r="A19" s="64" t="s">
        <v>19</v>
      </c>
      <c r="B19" s="13">
        <v>630</v>
      </c>
      <c r="C19" s="13">
        <v>17</v>
      </c>
      <c r="D19" s="14">
        <v>45170</v>
      </c>
      <c r="E19" s="12">
        <v>4</v>
      </c>
      <c r="F19" s="13">
        <v>8</v>
      </c>
      <c r="G19" s="14">
        <v>45261</v>
      </c>
      <c r="H19" s="12">
        <v>1</v>
      </c>
      <c r="I19" s="15">
        <f t="shared" si="0"/>
        <v>11.862172848804368</v>
      </c>
      <c r="J19" s="12">
        <f t="shared" si="1"/>
        <v>639</v>
      </c>
      <c r="K19" s="15">
        <f t="shared" si="2"/>
        <v>11.649954421148587</v>
      </c>
      <c r="L19" s="12">
        <f t="shared" si="3"/>
        <v>628.33333333333326</v>
      </c>
      <c r="M19" s="16"/>
      <c r="N19" s="16"/>
      <c r="O19" s="16"/>
      <c r="P19" s="65"/>
      <c r="R19">
        <v>6</v>
      </c>
      <c r="S19">
        <v>7</v>
      </c>
      <c r="U19" s="84"/>
      <c r="V19" s="84"/>
      <c r="W19" s="84"/>
      <c r="X19" s="84"/>
      <c r="Y19" s="84"/>
      <c r="Z19" s="84"/>
      <c r="AA19" s="84"/>
      <c r="AB19" s="84"/>
      <c r="AC19" s="84"/>
      <c r="AD19" s="84"/>
      <c r="AE19" s="84"/>
    </row>
    <row r="20" spans="1:31" x14ac:dyDescent="0.3">
      <c r="A20" s="64" t="s">
        <v>20</v>
      </c>
      <c r="B20" s="13">
        <v>225</v>
      </c>
      <c r="C20" s="13">
        <v>0</v>
      </c>
      <c r="D20" s="13">
        <v>0</v>
      </c>
      <c r="E20" s="12">
        <v>0</v>
      </c>
      <c r="F20" s="13">
        <v>16</v>
      </c>
      <c r="G20" s="14">
        <v>44986</v>
      </c>
      <c r="H20" s="12">
        <v>10</v>
      </c>
      <c r="I20" s="15">
        <f t="shared" si="0"/>
        <v>4.236490303144417</v>
      </c>
      <c r="J20" s="12">
        <f t="shared" si="1"/>
        <v>209</v>
      </c>
      <c r="K20" s="15">
        <f t="shared" si="2"/>
        <v>3.8103919781221509</v>
      </c>
      <c r="L20" s="12">
        <f t="shared" si="3"/>
        <v>222.33333333333334</v>
      </c>
      <c r="M20" s="16"/>
      <c r="N20" s="16"/>
      <c r="O20" s="16"/>
      <c r="P20" s="65"/>
      <c r="R20">
        <v>7</v>
      </c>
      <c r="S20">
        <v>6</v>
      </c>
      <c r="U20" s="84"/>
      <c r="V20" s="84"/>
      <c r="W20" s="84"/>
      <c r="X20" s="84"/>
      <c r="Y20" s="84"/>
      <c r="Z20" s="84"/>
      <c r="AA20" s="84"/>
      <c r="AB20" s="84"/>
      <c r="AC20" s="84"/>
      <c r="AD20" s="84"/>
      <c r="AE20" s="84"/>
    </row>
    <row r="21" spans="1:31" x14ac:dyDescent="0.3">
      <c r="A21" s="64" t="s">
        <v>21</v>
      </c>
      <c r="B21" s="13">
        <v>470</v>
      </c>
      <c r="C21" s="13">
        <v>28</v>
      </c>
      <c r="D21" s="14">
        <v>45078</v>
      </c>
      <c r="E21" s="12">
        <v>7</v>
      </c>
      <c r="F21" s="13">
        <v>10</v>
      </c>
      <c r="G21" s="14">
        <v>45108</v>
      </c>
      <c r="H21" s="12">
        <v>6</v>
      </c>
      <c r="I21" s="15">
        <f t="shared" si="0"/>
        <v>8.8495575221238933</v>
      </c>
      <c r="J21" s="12">
        <f t="shared" si="1"/>
        <v>488</v>
      </c>
      <c r="K21" s="15">
        <f t="shared" si="2"/>
        <v>8.8969917958067448</v>
      </c>
      <c r="L21" s="12">
        <f t="shared" si="3"/>
        <v>481.33333333333331</v>
      </c>
      <c r="M21" s="16"/>
      <c r="N21" s="16"/>
      <c r="O21" s="16"/>
      <c r="P21" s="65"/>
      <c r="R21">
        <v>8</v>
      </c>
      <c r="S21">
        <v>5</v>
      </c>
      <c r="U21" s="84"/>
      <c r="V21" s="84"/>
      <c r="W21" s="84"/>
      <c r="X21" s="84"/>
      <c r="Y21" s="84"/>
      <c r="Z21" s="84"/>
      <c r="AA21" s="84"/>
      <c r="AB21" s="84"/>
      <c r="AC21" s="84"/>
      <c r="AD21" s="84"/>
      <c r="AE21" s="84"/>
    </row>
    <row r="22" spans="1:31" x14ac:dyDescent="0.3">
      <c r="A22" s="64" t="s">
        <v>22</v>
      </c>
      <c r="B22" s="13">
        <v>100</v>
      </c>
      <c r="C22" s="13">
        <v>10</v>
      </c>
      <c r="D22" s="14">
        <v>45017</v>
      </c>
      <c r="E22" s="12">
        <v>3</v>
      </c>
      <c r="F22" s="13">
        <v>5</v>
      </c>
      <c r="G22" s="14">
        <v>45200</v>
      </c>
      <c r="H22" s="12">
        <v>3</v>
      </c>
      <c r="I22" s="15">
        <f>B22/$B$23*100</f>
        <v>1.8828845791752966</v>
      </c>
      <c r="J22" s="12">
        <f t="shared" si="1"/>
        <v>105</v>
      </c>
      <c r="K22" s="15">
        <f t="shared" si="2"/>
        <v>1.9143117593436645</v>
      </c>
      <c r="L22" s="12">
        <f t="shared" si="3"/>
        <v>98.75</v>
      </c>
      <c r="M22" s="16"/>
      <c r="N22" s="16"/>
      <c r="O22" s="16"/>
      <c r="P22" s="65"/>
      <c r="R22">
        <v>9</v>
      </c>
      <c r="S22">
        <v>4</v>
      </c>
      <c r="U22" s="84"/>
      <c r="V22" s="84"/>
      <c r="W22" s="84"/>
      <c r="X22" s="84"/>
      <c r="Y22" s="84"/>
      <c r="Z22" s="84"/>
      <c r="AA22" s="84"/>
      <c r="AB22" s="84"/>
      <c r="AC22" s="84"/>
      <c r="AD22" s="84"/>
      <c r="AE22" s="84"/>
    </row>
    <row r="23" spans="1:31" ht="15" thickBot="1" x14ac:dyDescent="0.35">
      <c r="A23" s="66" t="s">
        <v>23</v>
      </c>
      <c r="B23" s="67">
        <f>SUM(B16:B22)</f>
        <v>5311</v>
      </c>
      <c r="C23" s="68">
        <f>SUM(C16:C22)</f>
        <v>300</v>
      </c>
      <c r="D23" s="69"/>
      <c r="E23" s="69"/>
      <c r="F23" s="68">
        <f>SUM(F16:F22)</f>
        <v>126</v>
      </c>
      <c r="G23" s="69"/>
      <c r="H23" s="69"/>
      <c r="I23" s="67">
        <f>SUM(I16:I22)</f>
        <v>99.999999999999986</v>
      </c>
      <c r="J23" s="70">
        <f>SUM(J16:J22)</f>
        <v>5485</v>
      </c>
      <c r="K23" s="70">
        <f>SUM(K16:K22)</f>
        <v>100</v>
      </c>
      <c r="L23" s="67">
        <f>SUM(L16:L22)</f>
        <v>5454.9999999999991</v>
      </c>
      <c r="M23" s="71">
        <f>C23/J23</f>
        <v>5.4694621695533276E-2</v>
      </c>
      <c r="N23" s="71">
        <f>F23/B23</f>
        <v>2.3724345697608736E-2</v>
      </c>
      <c r="O23" s="70">
        <f>(SUM(L18:L19,L21))/L23*100</f>
        <v>72.558814543232515</v>
      </c>
      <c r="P23" s="72">
        <f>(SUM(L16:L17,L20,L22))/L23*100</f>
        <v>27.441185456767492</v>
      </c>
      <c r="R23">
        <v>10</v>
      </c>
      <c r="S23">
        <v>3</v>
      </c>
      <c r="U23" s="84"/>
      <c r="V23" s="84"/>
      <c r="W23" s="84"/>
      <c r="X23" s="84"/>
      <c r="Y23" s="84"/>
      <c r="Z23" s="84"/>
      <c r="AA23" s="84"/>
      <c r="AB23" s="84"/>
      <c r="AC23" s="84"/>
      <c r="AD23" s="84"/>
      <c r="AE23" s="84"/>
    </row>
    <row r="24" spans="1:31" x14ac:dyDescent="0.3">
      <c r="A24" s="10" t="s">
        <v>25</v>
      </c>
      <c r="R24">
        <v>11</v>
      </c>
      <c r="S24">
        <v>2</v>
      </c>
      <c r="U24" s="84"/>
      <c r="V24" s="84"/>
      <c r="W24" s="84"/>
      <c r="X24" s="84"/>
      <c r="Y24" s="84"/>
      <c r="Z24" s="84"/>
      <c r="AA24" s="84"/>
      <c r="AB24" s="84"/>
      <c r="AC24" s="84"/>
      <c r="AD24" s="84"/>
      <c r="AE24" s="84"/>
    </row>
    <row r="25" spans="1:31" ht="13.95" customHeight="1" x14ac:dyDescent="0.3">
      <c r="A25" s="73" t="s">
        <v>2</v>
      </c>
      <c r="B25" s="73" t="s">
        <v>3</v>
      </c>
      <c r="C25" s="73" t="s">
        <v>34</v>
      </c>
      <c r="D25" s="73" t="s">
        <v>4</v>
      </c>
      <c r="E25" s="73" t="s">
        <v>5</v>
      </c>
      <c r="F25" s="73" t="s">
        <v>35</v>
      </c>
      <c r="G25" s="73" t="s">
        <v>6</v>
      </c>
      <c r="H25" s="73" t="s">
        <v>7</v>
      </c>
      <c r="I25" s="73" t="s">
        <v>8</v>
      </c>
      <c r="J25" s="73" t="s">
        <v>9</v>
      </c>
      <c r="K25" s="73" t="s">
        <v>10</v>
      </c>
      <c r="L25" s="73" t="s">
        <v>11</v>
      </c>
      <c r="M25" s="73" t="s">
        <v>12</v>
      </c>
      <c r="N25" s="73" t="s">
        <v>13</v>
      </c>
      <c r="O25" s="73" t="s">
        <v>14</v>
      </c>
      <c r="P25" s="73" t="s">
        <v>15</v>
      </c>
      <c r="R25">
        <v>12</v>
      </c>
      <c r="S25">
        <v>1</v>
      </c>
      <c r="U25" s="84"/>
      <c r="V25" s="84"/>
      <c r="W25" s="84"/>
      <c r="X25" s="84"/>
      <c r="Y25" s="84"/>
      <c r="Z25" s="84"/>
      <c r="AA25" s="84"/>
      <c r="AB25" s="84"/>
      <c r="AC25" s="84"/>
      <c r="AD25" s="84"/>
      <c r="AE25" s="84"/>
    </row>
    <row r="26" spans="1:31" ht="41.4" customHeight="1" x14ac:dyDescent="0.3">
      <c r="A26" s="74"/>
      <c r="B26" s="74"/>
      <c r="C26" s="74"/>
      <c r="D26" s="74"/>
      <c r="E26" s="74"/>
      <c r="F26" s="74"/>
      <c r="G26" s="74"/>
      <c r="H26" s="74"/>
      <c r="I26" s="74"/>
      <c r="J26" s="74"/>
      <c r="K26" s="74"/>
      <c r="L26" s="74"/>
      <c r="M26" s="74"/>
      <c r="N26" s="74"/>
      <c r="O26" s="74"/>
      <c r="P26" s="74"/>
    </row>
    <row r="27" spans="1:31" x14ac:dyDescent="0.3">
      <c r="A27" s="11" t="s">
        <v>16</v>
      </c>
      <c r="B27" s="13">
        <v>1250</v>
      </c>
      <c r="C27" s="13">
        <v>15</v>
      </c>
      <c r="D27" s="14">
        <v>44986</v>
      </c>
      <c r="E27" s="12"/>
      <c r="F27" s="13">
        <v>54</v>
      </c>
      <c r="G27" s="14">
        <v>45017</v>
      </c>
      <c r="H27" s="12"/>
      <c r="I27" s="15"/>
      <c r="J27" s="12"/>
      <c r="K27" s="15"/>
      <c r="L27" s="12"/>
      <c r="M27" s="16"/>
      <c r="N27" s="16"/>
      <c r="O27" s="16"/>
      <c r="P27" s="16"/>
    </row>
    <row r="28" spans="1:31" x14ac:dyDescent="0.3">
      <c r="A28" s="11" t="s">
        <v>17</v>
      </c>
      <c r="B28" s="13">
        <v>185</v>
      </c>
      <c r="C28" s="13">
        <v>20</v>
      </c>
      <c r="D28" s="14">
        <v>45047</v>
      </c>
      <c r="E28" s="12"/>
      <c r="F28" s="13">
        <v>0</v>
      </c>
      <c r="G28" s="12">
        <v>0</v>
      </c>
      <c r="H28" s="12"/>
      <c r="I28" s="15"/>
      <c r="J28" s="12"/>
      <c r="K28" s="15"/>
      <c r="L28" s="12"/>
      <c r="M28" s="16"/>
      <c r="N28" s="16"/>
      <c r="O28" s="16"/>
      <c r="P28" s="16"/>
    </row>
    <row r="29" spans="1:31" x14ac:dyDescent="0.3">
      <c r="A29" s="11" t="s">
        <v>18</v>
      </c>
      <c r="B29" s="13">
        <v>3610</v>
      </c>
      <c r="C29" s="13">
        <v>470</v>
      </c>
      <c r="D29" s="14">
        <v>44958</v>
      </c>
      <c r="E29" s="12"/>
      <c r="F29" s="13">
        <v>62</v>
      </c>
      <c r="G29" s="14">
        <v>45108</v>
      </c>
      <c r="H29" s="12"/>
      <c r="I29" s="15"/>
      <c r="J29" s="12"/>
      <c r="K29" s="15"/>
      <c r="L29" s="12"/>
      <c r="M29" s="16"/>
      <c r="N29" s="16"/>
      <c r="O29" s="16"/>
      <c r="P29" s="16"/>
    </row>
    <row r="30" spans="1:31" x14ac:dyDescent="0.3">
      <c r="A30" s="11" t="s">
        <v>19</v>
      </c>
      <c r="B30" s="13">
        <v>590</v>
      </c>
      <c r="C30" s="13">
        <v>33</v>
      </c>
      <c r="D30" s="14">
        <v>45200</v>
      </c>
      <c r="E30" s="12"/>
      <c r="F30" s="13">
        <v>10</v>
      </c>
      <c r="G30" s="14">
        <v>45231</v>
      </c>
      <c r="H30" s="12"/>
      <c r="I30" s="15"/>
      <c r="J30" s="12"/>
      <c r="K30" s="15"/>
      <c r="L30" s="12"/>
      <c r="M30" s="16"/>
      <c r="N30" s="16"/>
      <c r="O30" s="16"/>
      <c r="P30" s="16"/>
    </row>
    <row r="31" spans="1:31" x14ac:dyDescent="0.3">
      <c r="A31" s="11" t="s">
        <v>20</v>
      </c>
      <c r="B31" s="13">
        <v>200</v>
      </c>
      <c r="C31" s="13">
        <v>14</v>
      </c>
      <c r="D31" s="14">
        <v>45231</v>
      </c>
      <c r="E31" s="12"/>
      <c r="F31" s="13">
        <v>35</v>
      </c>
      <c r="G31" s="14">
        <v>44986</v>
      </c>
      <c r="H31" s="12"/>
      <c r="I31" s="15"/>
      <c r="J31" s="12"/>
      <c r="K31" s="15"/>
      <c r="L31" s="12"/>
      <c r="M31" s="16"/>
      <c r="N31" s="16"/>
      <c r="O31" s="16"/>
      <c r="P31" s="16"/>
    </row>
    <row r="32" spans="1:31" x14ac:dyDescent="0.3">
      <c r="A32" s="11" t="s">
        <v>21</v>
      </c>
      <c r="B32" s="13">
        <v>574</v>
      </c>
      <c r="C32" s="13">
        <v>0</v>
      </c>
      <c r="D32" s="12">
        <v>0</v>
      </c>
      <c r="E32" s="12"/>
      <c r="F32" s="13">
        <v>4</v>
      </c>
      <c r="G32" s="14">
        <v>45170</v>
      </c>
      <c r="H32" s="12"/>
      <c r="I32" s="15"/>
      <c r="J32" s="12"/>
      <c r="K32" s="15"/>
      <c r="L32" s="12"/>
      <c r="M32" s="16"/>
      <c r="N32" s="16"/>
      <c r="O32" s="16"/>
      <c r="P32" s="16"/>
    </row>
    <row r="33" spans="1:16" x14ac:dyDescent="0.3">
      <c r="A33" s="11" t="s">
        <v>22</v>
      </c>
      <c r="B33" s="13">
        <v>96</v>
      </c>
      <c r="C33" s="13">
        <v>18</v>
      </c>
      <c r="D33" s="14">
        <v>45017</v>
      </c>
      <c r="E33" s="12"/>
      <c r="F33" s="13">
        <v>11</v>
      </c>
      <c r="G33" s="14">
        <v>44958</v>
      </c>
      <c r="H33" s="12"/>
      <c r="I33" s="15"/>
      <c r="J33" s="12"/>
      <c r="K33" s="15"/>
      <c r="L33" s="12"/>
      <c r="M33" s="16"/>
      <c r="N33" s="16"/>
      <c r="O33" s="16"/>
      <c r="P33" s="16"/>
    </row>
    <row r="34" spans="1:16" x14ac:dyDescent="0.3">
      <c r="A34" s="17" t="s">
        <v>23</v>
      </c>
      <c r="B34" s="21"/>
      <c r="C34" s="21"/>
      <c r="D34" s="16"/>
      <c r="E34" s="16"/>
      <c r="F34" s="21"/>
      <c r="G34" s="16"/>
      <c r="H34" s="16"/>
      <c r="I34" s="18"/>
      <c r="J34" s="18"/>
      <c r="K34" s="18"/>
      <c r="L34" s="18"/>
      <c r="M34" s="20"/>
      <c r="N34" s="20"/>
      <c r="O34" s="19"/>
      <c r="P34" s="19"/>
    </row>
    <row r="35" spans="1:16" x14ac:dyDescent="0.3">
      <c r="A35" s="10" t="s">
        <v>26</v>
      </c>
    </row>
    <row r="36" spans="1:16" ht="13.95" customHeight="1" x14ac:dyDescent="0.3">
      <c r="A36" s="73" t="s">
        <v>2</v>
      </c>
      <c r="B36" s="73" t="s">
        <v>3</v>
      </c>
      <c r="C36" s="73" t="s">
        <v>34</v>
      </c>
      <c r="D36" s="73" t="s">
        <v>4</v>
      </c>
      <c r="E36" s="73" t="s">
        <v>5</v>
      </c>
      <c r="F36" s="73" t="s">
        <v>35</v>
      </c>
      <c r="G36" s="73" t="s">
        <v>6</v>
      </c>
      <c r="H36" s="73" t="s">
        <v>7</v>
      </c>
      <c r="I36" s="73" t="s">
        <v>8</v>
      </c>
      <c r="J36" s="73" t="s">
        <v>9</v>
      </c>
      <c r="K36" s="73" t="s">
        <v>10</v>
      </c>
      <c r="L36" s="73" t="s">
        <v>11</v>
      </c>
      <c r="M36" s="73" t="s">
        <v>12</v>
      </c>
      <c r="N36" s="73" t="s">
        <v>13</v>
      </c>
      <c r="O36" s="73" t="s">
        <v>14</v>
      </c>
      <c r="P36" s="73" t="s">
        <v>15</v>
      </c>
    </row>
    <row r="37" spans="1:16" ht="42.45" customHeight="1" x14ac:dyDescent="0.3">
      <c r="A37" s="74"/>
      <c r="B37" s="74"/>
      <c r="C37" s="74"/>
      <c r="D37" s="74"/>
      <c r="E37" s="74"/>
      <c r="F37" s="74"/>
      <c r="G37" s="74"/>
      <c r="H37" s="74"/>
      <c r="I37" s="74"/>
      <c r="J37" s="74"/>
      <c r="K37" s="74"/>
      <c r="L37" s="74"/>
      <c r="M37" s="74"/>
      <c r="N37" s="74"/>
      <c r="O37" s="74"/>
      <c r="P37" s="74"/>
    </row>
    <row r="38" spans="1:16" x14ac:dyDescent="0.3">
      <c r="A38" s="11" t="s">
        <v>16</v>
      </c>
      <c r="B38" s="13">
        <v>1120</v>
      </c>
      <c r="C38" s="13">
        <v>25</v>
      </c>
      <c r="D38" s="14">
        <v>45047</v>
      </c>
      <c r="E38" s="12"/>
      <c r="F38" s="13">
        <v>0</v>
      </c>
      <c r="G38" s="12">
        <v>0</v>
      </c>
      <c r="H38" s="12"/>
      <c r="I38" s="15"/>
      <c r="J38" s="12"/>
      <c r="K38" s="15"/>
      <c r="L38" s="12"/>
      <c r="M38" s="16"/>
      <c r="N38" s="16"/>
      <c r="O38" s="16"/>
      <c r="P38" s="16"/>
    </row>
    <row r="39" spans="1:16" x14ac:dyDescent="0.3">
      <c r="A39" s="11" t="s">
        <v>17</v>
      </c>
      <c r="B39" s="13">
        <v>230</v>
      </c>
      <c r="C39" s="13">
        <v>15</v>
      </c>
      <c r="D39" s="14">
        <v>45108</v>
      </c>
      <c r="E39" s="12"/>
      <c r="F39" s="13">
        <v>24</v>
      </c>
      <c r="G39" s="14">
        <v>45078</v>
      </c>
      <c r="H39" s="12"/>
      <c r="I39" s="15"/>
      <c r="J39" s="12"/>
      <c r="K39" s="15"/>
      <c r="L39" s="12"/>
      <c r="M39" s="16"/>
      <c r="N39" s="16"/>
      <c r="O39" s="16"/>
      <c r="P39" s="16"/>
    </row>
    <row r="40" spans="1:16" x14ac:dyDescent="0.3">
      <c r="A40" s="11" t="s">
        <v>18</v>
      </c>
      <c r="B40" s="13">
        <v>4100</v>
      </c>
      <c r="C40" s="13">
        <v>320</v>
      </c>
      <c r="D40" s="14">
        <v>44927</v>
      </c>
      <c r="E40" s="12"/>
      <c r="F40" s="13">
        <v>55</v>
      </c>
      <c r="G40" s="14">
        <v>45108</v>
      </c>
      <c r="H40" s="12"/>
      <c r="I40" s="15"/>
      <c r="J40" s="12"/>
      <c r="K40" s="15"/>
      <c r="L40" s="12"/>
      <c r="M40" s="16"/>
      <c r="N40" s="16"/>
      <c r="O40" s="16"/>
      <c r="P40" s="16"/>
    </row>
    <row r="41" spans="1:16" x14ac:dyDescent="0.3">
      <c r="A41" s="11" t="s">
        <v>19</v>
      </c>
      <c r="B41" s="13">
        <v>600</v>
      </c>
      <c r="C41" s="13">
        <v>45</v>
      </c>
      <c r="D41" s="14">
        <v>45231</v>
      </c>
      <c r="E41" s="12"/>
      <c r="F41" s="13">
        <v>12</v>
      </c>
      <c r="G41" s="14">
        <v>45200</v>
      </c>
      <c r="H41" s="12"/>
      <c r="I41" s="15"/>
      <c r="J41" s="12"/>
      <c r="K41" s="15"/>
      <c r="L41" s="12"/>
      <c r="M41" s="16"/>
      <c r="N41" s="16"/>
      <c r="O41" s="16"/>
      <c r="P41" s="16"/>
    </row>
    <row r="42" spans="1:16" x14ac:dyDescent="0.3">
      <c r="A42" s="11" t="s">
        <v>20</v>
      </c>
      <c r="B42" s="13">
        <v>250</v>
      </c>
      <c r="C42" s="13">
        <v>18</v>
      </c>
      <c r="D42" s="14">
        <v>45170</v>
      </c>
      <c r="E42" s="12"/>
      <c r="F42" s="13">
        <v>47</v>
      </c>
      <c r="G42" s="14">
        <v>45017</v>
      </c>
      <c r="H42" s="12"/>
      <c r="I42" s="15"/>
      <c r="J42" s="12"/>
      <c r="K42" s="15"/>
      <c r="L42" s="12"/>
      <c r="M42" s="16"/>
      <c r="N42" s="16"/>
      <c r="O42" s="16"/>
      <c r="P42" s="16"/>
    </row>
    <row r="43" spans="1:16" x14ac:dyDescent="0.3">
      <c r="A43" s="11" t="s">
        <v>21</v>
      </c>
      <c r="B43" s="13">
        <v>780</v>
      </c>
      <c r="C43" s="13">
        <v>10</v>
      </c>
      <c r="D43" s="14">
        <v>45200</v>
      </c>
      <c r="E43" s="12"/>
      <c r="F43" s="13">
        <v>25</v>
      </c>
      <c r="G43" s="14">
        <v>45170</v>
      </c>
      <c r="H43" s="12"/>
      <c r="I43" s="15"/>
      <c r="J43" s="12"/>
      <c r="K43" s="15"/>
      <c r="L43" s="12"/>
      <c r="M43" s="16"/>
      <c r="N43" s="16"/>
      <c r="O43" s="16"/>
      <c r="P43" s="16"/>
    </row>
    <row r="44" spans="1:16" x14ac:dyDescent="0.3">
      <c r="A44" s="11" t="s">
        <v>22</v>
      </c>
      <c r="B44" s="13">
        <v>114</v>
      </c>
      <c r="C44" s="13">
        <v>6</v>
      </c>
      <c r="D44" s="14">
        <v>45017</v>
      </c>
      <c r="E44" s="12"/>
      <c r="F44" s="13">
        <v>14</v>
      </c>
      <c r="G44" s="14">
        <v>44986</v>
      </c>
      <c r="H44" s="12"/>
      <c r="I44" s="15"/>
      <c r="J44" s="12"/>
      <c r="K44" s="15"/>
      <c r="L44" s="12"/>
      <c r="M44" s="16"/>
      <c r="N44" s="16"/>
      <c r="O44" s="16"/>
      <c r="P44" s="16"/>
    </row>
    <row r="45" spans="1:16" x14ac:dyDescent="0.3">
      <c r="A45" s="17" t="s">
        <v>23</v>
      </c>
      <c r="B45" s="21"/>
      <c r="C45" s="21"/>
      <c r="D45" s="16"/>
      <c r="E45" s="16"/>
      <c r="F45" s="21"/>
      <c r="G45" s="16"/>
      <c r="H45" s="16"/>
      <c r="I45" s="18"/>
      <c r="J45" s="18"/>
      <c r="K45" s="18"/>
      <c r="L45" s="18"/>
      <c r="M45" s="20"/>
      <c r="N45" s="20"/>
      <c r="O45" s="19"/>
      <c r="P45" s="19"/>
    </row>
    <row r="46" spans="1:16" x14ac:dyDescent="0.3">
      <c r="A46" s="10" t="s">
        <v>27</v>
      </c>
    </row>
    <row r="47" spans="1:16" ht="13.95" customHeight="1" x14ac:dyDescent="0.3">
      <c r="A47" s="73" t="s">
        <v>2</v>
      </c>
      <c r="B47" s="73" t="s">
        <v>3</v>
      </c>
      <c r="C47" s="73" t="s">
        <v>34</v>
      </c>
      <c r="D47" s="73" t="s">
        <v>4</v>
      </c>
      <c r="E47" s="73" t="s">
        <v>5</v>
      </c>
      <c r="F47" s="73" t="s">
        <v>35</v>
      </c>
      <c r="G47" s="73" t="s">
        <v>6</v>
      </c>
      <c r="H47" s="73" t="s">
        <v>7</v>
      </c>
      <c r="I47" s="73" t="s">
        <v>8</v>
      </c>
      <c r="J47" s="73" t="s">
        <v>9</v>
      </c>
      <c r="K47" s="73" t="s">
        <v>10</v>
      </c>
      <c r="L47" s="73" t="s">
        <v>11</v>
      </c>
      <c r="M47" s="73" t="s">
        <v>12</v>
      </c>
      <c r="N47" s="73" t="s">
        <v>13</v>
      </c>
      <c r="O47" s="73" t="s">
        <v>14</v>
      </c>
      <c r="P47" s="73" t="s">
        <v>15</v>
      </c>
    </row>
    <row r="48" spans="1:16" ht="37.049999999999997" customHeight="1" x14ac:dyDescent="0.3">
      <c r="A48" s="74"/>
      <c r="B48" s="74"/>
      <c r="C48" s="74"/>
      <c r="D48" s="74"/>
      <c r="E48" s="74"/>
      <c r="F48" s="74"/>
      <c r="G48" s="74"/>
      <c r="H48" s="74"/>
      <c r="I48" s="74"/>
      <c r="J48" s="74"/>
      <c r="K48" s="74"/>
      <c r="L48" s="74"/>
      <c r="M48" s="74"/>
      <c r="N48" s="74"/>
      <c r="O48" s="74"/>
      <c r="P48" s="74"/>
    </row>
    <row r="49" spans="1:16" x14ac:dyDescent="0.3">
      <c r="A49" s="11" t="s">
        <v>16</v>
      </c>
      <c r="B49" s="13">
        <v>980</v>
      </c>
      <c r="C49" s="13">
        <v>20</v>
      </c>
      <c r="D49" s="14">
        <v>44958</v>
      </c>
      <c r="E49" s="12"/>
      <c r="F49" s="13">
        <v>25</v>
      </c>
      <c r="G49" s="14">
        <v>45047</v>
      </c>
      <c r="H49" s="12"/>
      <c r="I49" s="15"/>
      <c r="J49" s="12"/>
      <c r="K49" s="15"/>
      <c r="L49" s="12"/>
      <c r="M49" s="16"/>
      <c r="N49" s="16"/>
      <c r="O49" s="16"/>
      <c r="P49" s="16"/>
    </row>
    <row r="50" spans="1:16" x14ac:dyDescent="0.3">
      <c r="A50" s="11" t="s">
        <v>17</v>
      </c>
      <c r="B50" s="13">
        <v>360</v>
      </c>
      <c r="C50" s="13">
        <v>30</v>
      </c>
      <c r="D50" s="14">
        <v>45078</v>
      </c>
      <c r="E50" s="12"/>
      <c r="F50" s="13">
        <v>10</v>
      </c>
      <c r="G50" s="14">
        <v>45078</v>
      </c>
      <c r="H50" s="12"/>
      <c r="I50" s="15"/>
      <c r="J50" s="12"/>
      <c r="K50" s="15"/>
      <c r="L50" s="12"/>
      <c r="M50" s="16"/>
      <c r="N50" s="16"/>
      <c r="O50" s="16"/>
      <c r="P50" s="16"/>
    </row>
    <row r="51" spans="1:16" x14ac:dyDescent="0.3">
      <c r="A51" s="11" t="s">
        <v>18</v>
      </c>
      <c r="B51" s="13">
        <v>5450</v>
      </c>
      <c r="C51" s="13">
        <v>410</v>
      </c>
      <c r="D51" s="14">
        <v>44986</v>
      </c>
      <c r="E51" s="12"/>
      <c r="F51" s="13">
        <v>130</v>
      </c>
      <c r="G51" s="14">
        <v>45200</v>
      </c>
      <c r="H51" s="12"/>
      <c r="I51" s="15"/>
      <c r="J51" s="12"/>
      <c r="K51" s="15"/>
      <c r="L51" s="12"/>
      <c r="M51" s="16"/>
      <c r="N51" s="16"/>
      <c r="O51" s="16"/>
      <c r="P51" s="16"/>
    </row>
    <row r="52" spans="1:16" x14ac:dyDescent="0.3">
      <c r="A52" s="11" t="s">
        <v>19</v>
      </c>
      <c r="B52" s="13">
        <v>360</v>
      </c>
      <c r="C52" s="13">
        <v>0</v>
      </c>
      <c r="D52" s="12">
        <v>0</v>
      </c>
      <c r="E52" s="12"/>
      <c r="F52" s="13">
        <v>18</v>
      </c>
      <c r="G52" s="14">
        <v>45231</v>
      </c>
      <c r="H52" s="12"/>
      <c r="I52" s="15"/>
      <c r="J52" s="12"/>
      <c r="K52" s="15"/>
      <c r="L52" s="12"/>
      <c r="M52" s="16"/>
      <c r="N52" s="16"/>
      <c r="O52" s="16"/>
      <c r="P52" s="16"/>
    </row>
    <row r="53" spans="1:16" x14ac:dyDescent="0.3">
      <c r="A53" s="11" t="s">
        <v>20</v>
      </c>
      <c r="B53" s="13">
        <v>125</v>
      </c>
      <c r="C53" s="13">
        <v>23</v>
      </c>
      <c r="D53" s="14">
        <v>45200</v>
      </c>
      <c r="E53" s="12"/>
      <c r="F53" s="13">
        <v>36</v>
      </c>
      <c r="G53" s="14">
        <v>45017</v>
      </c>
      <c r="H53" s="12"/>
      <c r="I53" s="15"/>
      <c r="J53" s="12"/>
      <c r="K53" s="15"/>
      <c r="L53" s="12"/>
      <c r="M53" s="16"/>
      <c r="N53" s="16"/>
      <c r="O53" s="16"/>
      <c r="P53" s="16"/>
    </row>
    <row r="54" spans="1:16" x14ac:dyDescent="0.3">
      <c r="A54" s="11" t="s">
        <v>21</v>
      </c>
      <c r="B54" s="13">
        <v>380</v>
      </c>
      <c r="C54" s="13">
        <v>45</v>
      </c>
      <c r="D54" s="14">
        <v>45261</v>
      </c>
      <c r="E54" s="12"/>
      <c r="F54" s="13">
        <v>15</v>
      </c>
      <c r="G54" s="14">
        <v>45170</v>
      </c>
      <c r="H54" s="12"/>
      <c r="I54" s="15"/>
      <c r="J54" s="12"/>
      <c r="K54" s="15"/>
      <c r="L54" s="12"/>
      <c r="M54" s="16"/>
      <c r="N54" s="16"/>
      <c r="O54" s="16"/>
      <c r="P54" s="16"/>
    </row>
    <row r="55" spans="1:16" x14ac:dyDescent="0.3">
      <c r="A55" s="11" t="s">
        <v>22</v>
      </c>
      <c r="B55" s="13">
        <v>70</v>
      </c>
      <c r="C55" s="13">
        <v>15</v>
      </c>
      <c r="D55" s="14">
        <v>45017</v>
      </c>
      <c r="E55" s="12"/>
      <c r="F55" s="13">
        <v>12</v>
      </c>
      <c r="G55" s="14">
        <v>44958</v>
      </c>
      <c r="H55" s="12"/>
      <c r="I55" s="15"/>
      <c r="J55" s="12"/>
      <c r="K55" s="15"/>
      <c r="L55" s="12"/>
      <c r="M55" s="16"/>
      <c r="N55" s="16"/>
      <c r="O55" s="16"/>
      <c r="P55" s="16"/>
    </row>
    <row r="56" spans="1:16" x14ac:dyDescent="0.3">
      <c r="A56" s="17" t="s">
        <v>23</v>
      </c>
      <c r="B56" s="21"/>
      <c r="C56" s="21"/>
      <c r="D56" s="16"/>
      <c r="E56" s="16"/>
      <c r="F56" s="21"/>
      <c r="G56" s="16"/>
      <c r="H56" s="16"/>
      <c r="I56" s="18"/>
      <c r="J56" s="18"/>
      <c r="K56" s="18"/>
      <c r="L56" s="18"/>
      <c r="M56" s="20"/>
      <c r="N56" s="20"/>
      <c r="O56" s="19"/>
      <c r="P56" s="19"/>
    </row>
    <row r="57" spans="1:16" x14ac:dyDescent="0.3">
      <c r="A57" s="10" t="s">
        <v>29</v>
      </c>
    </row>
    <row r="58" spans="1:16" ht="13.95" customHeight="1" x14ac:dyDescent="0.3">
      <c r="A58" s="73" t="s">
        <v>2</v>
      </c>
      <c r="B58" s="73" t="s">
        <v>3</v>
      </c>
      <c r="C58" s="73" t="s">
        <v>34</v>
      </c>
      <c r="D58" s="73" t="s">
        <v>4</v>
      </c>
      <c r="E58" s="73" t="s">
        <v>5</v>
      </c>
      <c r="F58" s="73" t="s">
        <v>35</v>
      </c>
      <c r="G58" s="73" t="s">
        <v>6</v>
      </c>
      <c r="H58" s="73" t="s">
        <v>7</v>
      </c>
      <c r="I58" s="73" t="s">
        <v>8</v>
      </c>
      <c r="J58" s="73" t="s">
        <v>9</v>
      </c>
      <c r="K58" s="73" t="s">
        <v>10</v>
      </c>
      <c r="L58" s="73" t="s">
        <v>11</v>
      </c>
      <c r="M58" s="73" t="s">
        <v>12</v>
      </c>
      <c r="N58" s="73" t="s">
        <v>13</v>
      </c>
      <c r="O58" s="73" t="s">
        <v>14</v>
      </c>
      <c r="P58" s="73" t="s">
        <v>15</v>
      </c>
    </row>
    <row r="59" spans="1:16" ht="43.5" customHeight="1" x14ac:dyDescent="0.3">
      <c r="A59" s="74"/>
      <c r="B59" s="74"/>
      <c r="C59" s="74"/>
      <c r="D59" s="74"/>
      <c r="E59" s="74"/>
      <c r="F59" s="74"/>
      <c r="G59" s="74"/>
      <c r="H59" s="74"/>
      <c r="I59" s="74"/>
      <c r="J59" s="74"/>
      <c r="K59" s="74"/>
      <c r="L59" s="74"/>
      <c r="M59" s="74"/>
      <c r="N59" s="74"/>
      <c r="O59" s="74"/>
      <c r="P59" s="74"/>
    </row>
    <row r="60" spans="1:16" x14ac:dyDescent="0.3">
      <c r="A60" s="11" t="s">
        <v>16</v>
      </c>
      <c r="B60" s="13">
        <v>1055</v>
      </c>
      <c r="C60" s="13">
        <v>25</v>
      </c>
      <c r="D60" s="14">
        <v>45383</v>
      </c>
      <c r="E60" s="12"/>
      <c r="F60" s="13">
        <v>0</v>
      </c>
      <c r="G60" s="12">
        <v>0</v>
      </c>
      <c r="H60" s="12"/>
      <c r="I60" s="15"/>
      <c r="J60" s="12"/>
      <c r="K60" s="15"/>
      <c r="L60" s="12"/>
      <c r="M60" s="16"/>
      <c r="N60" s="16"/>
      <c r="O60" s="16"/>
      <c r="P60" s="16"/>
    </row>
    <row r="61" spans="1:16" x14ac:dyDescent="0.3">
      <c r="A61" s="11" t="s">
        <v>17</v>
      </c>
      <c r="B61" s="13">
        <v>410</v>
      </c>
      <c r="C61" s="13">
        <v>15</v>
      </c>
      <c r="D61" s="14">
        <v>45413</v>
      </c>
      <c r="E61" s="12"/>
      <c r="F61" s="13">
        <v>15</v>
      </c>
      <c r="G61" s="14">
        <v>45078</v>
      </c>
      <c r="H61" s="12"/>
      <c r="I61" s="15"/>
      <c r="J61" s="12"/>
      <c r="K61" s="15"/>
      <c r="L61" s="12"/>
      <c r="M61" s="16"/>
      <c r="N61" s="16"/>
      <c r="O61" s="16"/>
      <c r="P61" s="16"/>
    </row>
    <row r="62" spans="1:16" x14ac:dyDescent="0.3">
      <c r="A62" s="11" t="s">
        <v>18</v>
      </c>
      <c r="B62" s="13">
        <v>6250</v>
      </c>
      <c r="C62" s="13">
        <v>560</v>
      </c>
      <c r="D62" s="14">
        <v>45323</v>
      </c>
      <c r="E62" s="12"/>
      <c r="F62" s="13">
        <v>114</v>
      </c>
      <c r="G62" s="14">
        <v>45597</v>
      </c>
      <c r="H62" s="12"/>
      <c r="I62" s="15"/>
      <c r="J62" s="12"/>
      <c r="K62" s="15"/>
      <c r="L62" s="12"/>
      <c r="M62" s="16"/>
      <c r="N62" s="16"/>
      <c r="O62" s="16"/>
      <c r="P62" s="16"/>
    </row>
    <row r="63" spans="1:16" x14ac:dyDescent="0.3">
      <c r="A63" s="11" t="s">
        <v>19</v>
      </c>
      <c r="B63" s="13">
        <v>300</v>
      </c>
      <c r="C63" s="13">
        <v>20</v>
      </c>
      <c r="D63" s="22">
        <v>45566</v>
      </c>
      <c r="E63" s="12"/>
      <c r="F63" s="13">
        <v>20</v>
      </c>
      <c r="G63" s="14">
        <v>45627</v>
      </c>
      <c r="H63" s="12"/>
      <c r="I63" s="15"/>
      <c r="J63" s="12"/>
      <c r="K63" s="15"/>
      <c r="L63" s="12"/>
      <c r="M63" s="16"/>
      <c r="N63" s="16"/>
      <c r="O63" s="16"/>
      <c r="P63" s="16"/>
    </row>
    <row r="64" spans="1:16" x14ac:dyDescent="0.3">
      <c r="A64" s="11" t="s">
        <v>20</v>
      </c>
      <c r="B64" s="13">
        <v>190</v>
      </c>
      <c r="C64" s="13">
        <v>0</v>
      </c>
      <c r="D64" s="12">
        <v>0</v>
      </c>
      <c r="E64" s="12"/>
      <c r="F64" s="13">
        <v>45</v>
      </c>
      <c r="G64" s="14">
        <v>45352</v>
      </c>
      <c r="H64" s="12"/>
      <c r="I64" s="15"/>
      <c r="J64" s="12"/>
      <c r="K64" s="15"/>
      <c r="L64" s="12"/>
      <c r="M64" s="16"/>
      <c r="N64" s="16"/>
      <c r="O64" s="16"/>
      <c r="P64" s="16"/>
    </row>
    <row r="65" spans="1:16" x14ac:dyDescent="0.3">
      <c r="A65" s="11" t="s">
        <v>21</v>
      </c>
      <c r="B65" s="13">
        <v>288</v>
      </c>
      <c r="C65" s="13">
        <v>0</v>
      </c>
      <c r="D65" s="12">
        <v>0</v>
      </c>
      <c r="E65" s="12"/>
      <c r="F65" s="13">
        <v>10</v>
      </c>
      <c r="G65" s="14">
        <v>45170</v>
      </c>
      <c r="H65" s="12"/>
      <c r="I65" s="15"/>
      <c r="J65" s="12"/>
      <c r="K65" s="15"/>
      <c r="L65" s="12"/>
      <c r="M65" s="16"/>
      <c r="N65" s="16"/>
      <c r="O65" s="16"/>
      <c r="P65" s="16"/>
    </row>
    <row r="66" spans="1:16" x14ac:dyDescent="0.3">
      <c r="A66" s="11" t="s">
        <v>22</v>
      </c>
      <c r="B66" s="13">
        <v>103</v>
      </c>
      <c r="C66" s="13">
        <v>18</v>
      </c>
      <c r="D66" s="14">
        <v>45597</v>
      </c>
      <c r="E66" s="12"/>
      <c r="F66" s="13">
        <v>11</v>
      </c>
      <c r="G66" s="14">
        <v>45383</v>
      </c>
      <c r="H66" s="12"/>
      <c r="I66" s="15"/>
      <c r="J66" s="12"/>
      <c r="K66" s="15"/>
      <c r="L66" s="12"/>
      <c r="M66" s="16"/>
      <c r="N66" s="16"/>
      <c r="O66" s="16"/>
      <c r="P66" s="16"/>
    </row>
    <row r="67" spans="1:16" x14ac:dyDescent="0.3">
      <c r="A67" s="17" t="s">
        <v>23</v>
      </c>
      <c r="B67" s="21"/>
      <c r="C67" s="21"/>
      <c r="D67" s="16"/>
      <c r="E67" s="16"/>
      <c r="F67" s="21"/>
      <c r="G67" s="16"/>
      <c r="H67" s="16"/>
      <c r="I67" s="18"/>
      <c r="J67" s="18"/>
      <c r="K67" s="18"/>
      <c r="L67" s="18"/>
      <c r="M67" s="20"/>
      <c r="N67" s="20"/>
      <c r="O67" s="19"/>
      <c r="P67" s="19"/>
    </row>
    <row r="68" spans="1:16" x14ac:dyDescent="0.3">
      <c r="A68" s="10" t="s">
        <v>30</v>
      </c>
    </row>
    <row r="69" spans="1:16" ht="13.95" customHeight="1" x14ac:dyDescent="0.3">
      <c r="A69" s="73" t="s">
        <v>2</v>
      </c>
      <c r="B69" s="73" t="s">
        <v>3</v>
      </c>
      <c r="C69" s="73" t="s">
        <v>34</v>
      </c>
      <c r="D69" s="73" t="s">
        <v>4</v>
      </c>
      <c r="E69" s="73" t="s">
        <v>5</v>
      </c>
      <c r="F69" s="73" t="s">
        <v>35</v>
      </c>
      <c r="G69" s="73" t="s">
        <v>6</v>
      </c>
      <c r="H69" s="73" t="s">
        <v>7</v>
      </c>
      <c r="I69" s="73" t="s">
        <v>8</v>
      </c>
      <c r="J69" s="73" t="s">
        <v>9</v>
      </c>
      <c r="K69" s="73" t="s">
        <v>10</v>
      </c>
      <c r="L69" s="73" t="s">
        <v>11</v>
      </c>
      <c r="M69" s="73" t="s">
        <v>12</v>
      </c>
      <c r="N69" s="73" t="s">
        <v>13</v>
      </c>
      <c r="O69" s="73" t="s">
        <v>14</v>
      </c>
      <c r="P69" s="73" t="s">
        <v>15</v>
      </c>
    </row>
    <row r="70" spans="1:16" ht="39.299999999999997" customHeight="1" x14ac:dyDescent="0.3">
      <c r="A70" s="74"/>
      <c r="B70" s="74"/>
      <c r="C70" s="74"/>
      <c r="D70" s="74"/>
      <c r="E70" s="74"/>
      <c r="F70" s="74"/>
      <c r="G70" s="74"/>
      <c r="H70" s="74"/>
      <c r="I70" s="74"/>
      <c r="J70" s="74"/>
      <c r="K70" s="74"/>
      <c r="L70" s="74"/>
      <c r="M70" s="74"/>
      <c r="N70" s="74"/>
      <c r="O70" s="74"/>
      <c r="P70" s="74"/>
    </row>
    <row r="71" spans="1:16" x14ac:dyDescent="0.3">
      <c r="A71" s="11" t="s">
        <v>16</v>
      </c>
      <c r="B71" s="13">
        <v>560</v>
      </c>
      <c r="C71" s="13">
        <v>25</v>
      </c>
      <c r="D71" s="14">
        <v>45323</v>
      </c>
      <c r="E71" s="12"/>
      <c r="F71" s="13">
        <v>10</v>
      </c>
      <c r="G71" s="22">
        <v>45566</v>
      </c>
      <c r="H71" s="12"/>
      <c r="I71" s="15"/>
      <c r="J71" s="12"/>
      <c r="K71" s="15"/>
      <c r="L71" s="12"/>
      <c r="M71" s="16"/>
      <c r="N71" s="16"/>
      <c r="O71" s="16"/>
      <c r="P71" s="16"/>
    </row>
    <row r="72" spans="1:16" x14ac:dyDescent="0.3">
      <c r="A72" s="11" t="s">
        <v>17</v>
      </c>
      <c r="B72" s="13">
        <v>344</v>
      </c>
      <c r="C72" s="13">
        <v>15</v>
      </c>
      <c r="D72" s="14">
        <v>45352</v>
      </c>
      <c r="E72" s="12"/>
      <c r="F72" s="13">
        <v>23</v>
      </c>
      <c r="G72" s="14">
        <v>45078</v>
      </c>
      <c r="H72" s="12"/>
      <c r="I72" s="15"/>
      <c r="J72" s="12"/>
      <c r="K72" s="15"/>
      <c r="L72" s="12"/>
      <c r="M72" s="16"/>
      <c r="N72" s="16"/>
      <c r="O72" s="16"/>
      <c r="P72" s="16"/>
    </row>
    <row r="73" spans="1:16" x14ac:dyDescent="0.3">
      <c r="A73" s="11" t="s">
        <v>18</v>
      </c>
      <c r="B73" s="13">
        <v>6540</v>
      </c>
      <c r="C73" s="13">
        <v>560</v>
      </c>
      <c r="D73" s="14">
        <v>45444</v>
      </c>
      <c r="E73" s="12"/>
      <c r="F73" s="13">
        <v>45</v>
      </c>
      <c r="G73" s="14">
        <v>45536</v>
      </c>
      <c r="H73" s="12"/>
      <c r="I73" s="15"/>
      <c r="J73" s="12"/>
      <c r="K73" s="15"/>
      <c r="L73" s="12"/>
      <c r="M73" s="16"/>
      <c r="N73" s="16"/>
      <c r="O73" s="16"/>
      <c r="P73" s="16"/>
    </row>
    <row r="74" spans="1:16" x14ac:dyDescent="0.3">
      <c r="A74" s="11" t="s">
        <v>19</v>
      </c>
      <c r="B74" s="13">
        <v>136</v>
      </c>
      <c r="C74" s="13">
        <v>20</v>
      </c>
      <c r="D74" s="22">
        <v>45597</v>
      </c>
      <c r="E74" s="12"/>
      <c r="F74" s="13">
        <v>0</v>
      </c>
      <c r="G74" s="12">
        <v>0</v>
      </c>
      <c r="H74" s="12"/>
      <c r="I74" s="15"/>
      <c r="J74" s="12"/>
      <c r="K74" s="15"/>
      <c r="L74" s="12"/>
      <c r="M74" s="16"/>
      <c r="N74" s="16"/>
      <c r="O74" s="16"/>
      <c r="P74" s="16"/>
    </row>
    <row r="75" spans="1:16" x14ac:dyDescent="0.3">
      <c r="A75" s="11" t="s">
        <v>20</v>
      </c>
      <c r="B75" s="13">
        <v>200</v>
      </c>
      <c r="C75" s="13">
        <v>0</v>
      </c>
      <c r="D75" s="12">
        <v>0</v>
      </c>
      <c r="E75" s="12"/>
      <c r="F75" s="13">
        <v>17</v>
      </c>
      <c r="G75" s="14">
        <v>45383</v>
      </c>
      <c r="H75" s="12"/>
      <c r="I75" s="15"/>
      <c r="J75" s="12"/>
      <c r="K75" s="15"/>
      <c r="L75" s="12"/>
      <c r="M75" s="16"/>
      <c r="N75" s="16"/>
      <c r="O75" s="16"/>
      <c r="P75" s="16"/>
    </row>
    <row r="76" spans="1:16" x14ac:dyDescent="0.3">
      <c r="A76" s="11" t="s">
        <v>21</v>
      </c>
      <c r="B76" s="13">
        <v>97</v>
      </c>
      <c r="C76" s="13">
        <v>26</v>
      </c>
      <c r="D76" s="22">
        <v>45474</v>
      </c>
      <c r="E76" s="12"/>
      <c r="F76" s="13">
        <v>7</v>
      </c>
      <c r="G76" s="14">
        <v>45323</v>
      </c>
      <c r="H76" s="12"/>
      <c r="I76" s="15"/>
      <c r="J76" s="12"/>
      <c r="K76" s="15"/>
      <c r="L76" s="12"/>
      <c r="M76" s="16"/>
      <c r="N76" s="16"/>
      <c r="O76" s="16"/>
      <c r="P76" s="16"/>
    </row>
    <row r="77" spans="1:16" x14ac:dyDescent="0.3">
      <c r="A77" s="11" t="s">
        <v>22</v>
      </c>
      <c r="B77" s="13">
        <v>23</v>
      </c>
      <c r="C77" s="13">
        <v>18</v>
      </c>
      <c r="D77" s="14">
        <v>45627</v>
      </c>
      <c r="E77" s="12"/>
      <c r="F77" s="13">
        <v>2</v>
      </c>
      <c r="G77" s="14">
        <v>45597</v>
      </c>
      <c r="H77" s="12"/>
      <c r="I77" s="15"/>
      <c r="J77" s="12"/>
      <c r="K77" s="15"/>
      <c r="L77" s="12"/>
      <c r="M77" s="16"/>
      <c r="N77" s="16"/>
      <c r="O77" s="16"/>
      <c r="P77" s="16"/>
    </row>
    <row r="78" spans="1:16" x14ac:dyDescent="0.3">
      <c r="A78" s="17" t="s">
        <v>23</v>
      </c>
      <c r="B78" s="21"/>
      <c r="C78" s="21"/>
      <c r="D78" s="16"/>
      <c r="E78" s="16"/>
      <c r="F78" s="21"/>
      <c r="G78" s="16"/>
      <c r="H78" s="16"/>
      <c r="I78" s="18"/>
      <c r="J78" s="18"/>
      <c r="K78" s="18"/>
      <c r="L78" s="18"/>
      <c r="M78" s="20"/>
      <c r="N78" s="20"/>
      <c r="O78" s="19"/>
      <c r="P78" s="19"/>
    </row>
    <row r="79" spans="1:16" x14ac:dyDescent="0.3">
      <c r="A79" s="10" t="s">
        <v>31</v>
      </c>
    </row>
    <row r="80" spans="1:16" ht="13.95" customHeight="1" x14ac:dyDescent="0.3">
      <c r="A80" s="73" t="s">
        <v>2</v>
      </c>
      <c r="B80" s="73" t="s">
        <v>3</v>
      </c>
      <c r="C80" s="73" t="s">
        <v>34</v>
      </c>
      <c r="D80" s="73" t="s">
        <v>4</v>
      </c>
      <c r="E80" s="73" t="s">
        <v>5</v>
      </c>
      <c r="F80" s="73" t="s">
        <v>35</v>
      </c>
      <c r="G80" s="73" t="s">
        <v>6</v>
      </c>
      <c r="H80" s="73" t="s">
        <v>7</v>
      </c>
      <c r="I80" s="73" t="s">
        <v>8</v>
      </c>
      <c r="J80" s="73" t="s">
        <v>9</v>
      </c>
      <c r="K80" s="73" t="s">
        <v>10</v>
      </c>
      <c r="L80" s="73" t="s">
        <v>11</v>
      </c>
      <c r="M80" s="73" t="s">
        <v>12</v>
      </c>
      <c r="N80" s="73" t="s">
        <v>13</v>
      </c>
      <c r="O80" s="73" t="s">
        <v>14</v>
      </c>
      <c r="P80" s="73" t="s">
        <v>15</v>
      </c>
    </row>
    <row r="81" spans="1:16" ht="38.1" customHeight="1" x14ac:dyDescent="0.3">
      <c r="A81" s="74"/>
      <c r="B81" s="74"/>
      <c r="C81" s="74"/>
      <c r="D81" s="74"/>
      <c r="E81" s="74"/>
      <c r="F81" s="74"/>
      <c r="G81" s="74"/>
      <c r="H81" s="74"/>
      <c r="I81" s="74"/>
      <c r="J81" s="74"/>
      <c r="K81" s="74"/>
      <c r="L81" s="74"/>
      <c r="M81" s="74"/>
      <c r="N81" s="74"/>
      <c r="O81" s="74"/>
      <c r="P81" s="74"/>
    </row>
    <row r="82" spans="1:16" x14ac:dyDescent="0.3">
      <c r="A82" s="11" t="s">
        <v>16</v>
      </c>
      <c r="B82" s="13">
        <v>185</v>
      </c>
      <c r="C82" s="13">
        <v>30</v>
      </c>
      <c r="D82" s="14">
        <v>45597</v>
      </c>
      <c r="E82" s="12"/>
      <c r="F82" s="13">
        <v>20</v>
      </c>
      <c r="G82" s="22">
        <v>45597</v>
      </c>
      <c r="H82" s="12"/>
      <c r="I82" s="15"/>
      <c r="J82" s="12"/>
      <c r="K82" s="15"/>
      <c r="L82" s="12"/>
      <c r="M82" s="16"/>
      <c r="N82" s="16"/>
      <c r="O82" s="16"/>
      <c r="P82" s="16"/>
    </row>
    <row r="83" spans="1:16" x14ac:dyDescent="0.3">
      <c r="A83" s="11" t="s">
        <v>17</v>
      </c>
      <c r="B83" s="13">
        <v>206</v>
      </c>
      <c r="C83" s="13">
        <v>0</v>
      </c>
      <c r="D83" s="12">
        <v>0</v>
      </c>
      <c r="E83" s="12"/>
      <c r="F83" s="13">
        <v>18</v>
      </c>
      <c r="G83" s="14">
        <v>45505</v>
      </c>
      <c r="H83" s="12"/>
      <c r="I83" s="15"/>
      <c r="J83" s="12"/>
      <c r="K83" s="15"/>
      <c r="L83" s="12"/>
      <c r="M83" s="16"/>
      <c r="N83" s="16"/>
      <c r="O83" s="16"/>
      <c r="P83" s="16"/>
    </row>
    <row r="84" spans="1:16" x14ac:dyDescent="0.3">
      <c r="A84" s="11" t="s">
        <v>18</v>
      </c>
      <c r="B84" s="13">
        <v>5890</v>
      </c>
      <c r="C84" s="13">
        <v>408</v>
      </c>
      <c r="D84" s="14">
        <v>45474</v>
      </c>
      <c r="E84" s="12"/>
      <c r="F84" s="13">
        <v>24</v>
      </c>
      <c r="G84" s="14">
        <v>45383</v>
      </c>
      <c r="H84" s="12"/>
      <c r="I84" s="15"/>
      <c r="J84" s="12"/>
      <c r="K84" s="15"/>
      <c r="L84" s="12"/>
      <c r="M84" s="16"/>
      <c r="N84" s="16"/>
      <c r="O84" s="16"/>
      <c r="P84" s="16"/>
    </row>
    <row r="85" spans="1:16" x14ac:dyDescent="0.3">
      <c r="A85" s="11" t="s">
        <v>19</v>
      </c>
      <c r="B85" s="13">
        <v>120</v>
      </c>
      <c r="C85" s="13">
        <v>10</v>
      </c>
      <c r="D85" s="22">
        <v>45536</v>
      </c>
      <c r="E85" s="12"/>
      <c r="F85" s="13">
        <v>15</v>
      </c>
      <c r="G85" s="22">
        <v>45323</v>
      </c>
      <c r="H85" s="12"/>
      <c r="I85" s="15"/>
      <c r="J85" s="12"/>
      <c r="K85" s="15"/>
      <c r="L85" s="12"/>
      <c r="M85" s="16"/>
      <c r="N85" s="16"/>
      <c r="O85" s="16"/>
      <c r="P85" s="16"/>
    </row>
    <row r="86" spans="1:16" x14ac:dyDescent="0.3">
      <c r="A86" s="11" t="s">
        <v>20</v>
      </c>
      <c r="B86" s="13">
        <v>96</v>
      </c>
      <c r="C86" s="13">
        <v>12</v>
      </c>
      <c r="D86" s="22">
        <v>45597</v>
      </c>
      <c r="E86" s="12"/>
      <c r="F86" s="13">
        <v>6</v>
      </c>
      <c r="G86" s="14">
        <v>45352</v>
      </c>
      <c r="H86" s="12"/>
      <c r="I86" s="15"/>
      <c r="J86" s="12"/>
      <c r="K86" s="15"/>
      <c r="L86" s="12"/>
      <c r="M86" s="16"/>
      <c r="N86" s="16"/>
      <c r="O86" s="16"/>
      <c r="P86" s="16"/>
    </row>
    <row r="87" spans="1:16" x14ac:dyDescent="0.3">
      <c r="A87" s="11" t="s">
        <v>21</v>
      </c>
      <c r="B87" s="13">
        <v>230</v>
      </c>
      <c r="C87" s="13">
        <v>54</v>
      </c>
      <c r="D87" s="22">
        <v>45536</v>
      </c>
      <c r="E87" s="12"/>
      <c r="F87" s="13">
        <v>0</v>
      </c>
      <c r="G87" s="12">
        <v>0</v>
      </c>
      <c r="H87" s="12"/>
      <c r="I87" s="15"/>
      <c r="J87" s="12"/>
      <c r="K87" s="15"/>
      <c r="L87" s="12"/>
      <c r="M87" s="16"/>
      <c r="N87" s="16"/>
      <c r="O87" s="16"/>
      <c r="P87" s="16"/>
    </row>
    <row r="88" spans="1:16" x14ac:dyDescent="0.3">
      <c r="A88" s="11" t="s">
        <v>22</v>
      </c>
      <c r="B88" s="13">
        <v>35</v>
      </c>
      <c r="C88" s="13">
        <v>22</v>
      </c>
      <c r="D88" s="14">
        <v>45352</v>
      </c>
      <c r="E88" s="12"/>
      <c r="F88" s="13">
        <v>0</v>
      </c>
      <c r="G88" s="12">
        <v>0</v>
      </c>
      <c r="H88" s="12"/>
      <c r="I88" s="15"/>
      <c r="J88" s="12"/>
      <c r="K88" s="15"/>
      <c r="L88" s="12"/>
      <c r="M88" s="16"/>
      <c r="N88" s="16"/>
      <c r="O88" s="16"/>
      <c r="P88" s="16"/>
    </row>
    <row r="89" spans="1:16" x14ac:dyDescent="0.3">
      <c r="A89" s="17" t="s">
        <v>23</v>
      </c>
      <c r="B89" s="21"/>
      <c r="C89" s="21"/>
      <c r="D89" s="16"/>
      <c r="E89" s="16"/>
      <c r="F89" s="21"/>
      <c r="G89" s="16"/>
      <c r="H89" s="16"/>
      <c r="I89" s="18"/>
      <c r="J89" s="18"/>
      <c r="K89" s="18"/>
      <c r="L89" s="18"/>
      <c r="M89" s="20"/>
      <c r="N89" s="20"/>
      <c r="O89" s="19"/>
      <c r="P89" s="19"/>
    </row>
    <row r="90" spans="1:16" x14ac:dyDescent="0.3">
      <c r="A90" s="10" t="s">
        <v>32</v>
      </c>
    </row>
    <row r="91" spans="1:16" ht="13.95" customHeight="1" x14ac:dyDescent="0.3">
      <c r="A91" s="73" t="s">
        <v>2</v>
      </c>
      <c r="B91" s="73" t="s">
        <v>3</v>
      </c>
      <c r="C91" s="73" t="s">
        <v>34</v>
      </c>
      <c r="D91" s="73" t="s">
        <v>4</v>
      </c>
      <c r="E91" s="73" t="s">
        <v>5</v>
      </c>
      <c r="F91" s="73" t="s">
        <v>35</v>
      </c>
      <c r="G91" s="73" t="s">
        <v>6</v>
      </c>
      <c r="H91" s="73" t="s">
        <v>7</v>
      </c>
      <c r="I91" s="73" t="s">
        <v>8</v>
      </c>
      <c r="J91" s="73" t="s">
        <v>9</v>
      </c>
      <c r="K91" s="73" t="s">
        <v>10</v>
      </c>
      <c r="L91" s="73" t="s">
        <v>11</v>
      </c>
      <c r="M91" s="73" t="s">
        <v>12</v>
      </c>
      <c r="N91" s="73" t="s">
        <v>13</v>
      </c>
      <c r="O91" s="73" t="s">
        <v>14</v>
      </c>
      <c r="P91" s="73" t="s">
        <v>15</v>
      </c>
    </row>
    <row r="92" spans="1:16" ht="38.700000000000003" customHeight="1" x14ac:dyDescent="0.3">
      <c r="A92" s="74"/>
      <c r="B92" s="74"/>
      <c r="C92" s="74"/>
      <c r="D92" s="74"/>
      <c r="E92" s="74"/>
      <c r="F92" s="74"/>
      <c r="G92" s="74"/>
      <c r="H92" s="74"/>
      <c r="I92" s="74"/>
      <c r="J92" s="74"/>
      <c r="K92" s="74"/>
      <c r="L92" s="74"/>
      <c r="M92" s="74"/>
      <c r="N92" s="74"/>
      <c r="O92" s="74"/>
      <c r="P92" s="74"/>
    </row>
    <row r="93" spans="1:16" x14ac:dyDescent="0.3">
      <c r="A93" s="11" t="s">
        <v>16</v>
      </c>
      <c r="B93" s="13">
        <v>199</v>
      </c>
      <c r="C93" s="13">
        <v>14</v>
      </c>
      <c r="D93" s="14">
        <v>45627</v>
      </c>
      <c r="E93" s="12"/>
      <c r="F93" s="13">
        <v>10</v>
      </c>
      <c r="G93" s="22">
        <v>45383</v>
      </c>
      <c r="H93" s="12"/>
      <c r="I93" s="15"/>
      <c r="J93" s="12"/>
      <c r="K93" s="15"/>
      <c r="L93" s="12"/>
      <c r="M93" s="16"/>
      <c r="N93" s="16"/>
      <c r="O93" s="16"/>
      <c r="P93" s="16"/>
    </row>
    <row r="94" spans="1:16" x14ac:dyDescent="0.3">
      <c r="A94" s="11" t="s">
        <v>17</v>
      </c>
      <c r="B94" s="13">
        <v>35</v>
      </c>
      <c r="C94" s="13">
        <v>25</v>
      </c>
      <c r="D94" s="14">
        <v>45597</v>
      </c>
      <c r="E94" s="12"/>
      <c r="F94" s="13">
        <v>0</v>
      </c>
      <c r="G94" s="12">
        <v>0</v>
      </c>
      <c r="H94" s="12"/>
      <c r="I94" s="15"/>
      <c r="J94" s="12"/>
      <c r="K94" s="15"/>
      <c r="L94" s="12"/>
      <c r="M94" s="16"/>
      <c r="N94" s="16"/>
      <c r="O94" s="16"/>
      <c r="P94" s="16"/>
    </row>
    <row r="95" spans="1:16" x14ac:dyDescent="0.3">
      <c r="A95" s="11" t="s">
        <v>18</v>
      </c>
      <c r="B95" s="13">
        <v>2470</v>
      </c>
      <c r="C95" s="13">
        <v>970</v>
      </c>
      <c r="D95" s="14">
        <v>45474</v>
      </c>
      <c r="E95" s="12"/>
      <c r="F95" s="13">
        <v>50</v>
      </c>
      <c r="G95" s="14">
        <v>45566</v>
      </c>
      <c r="H95" s="12"/>
      <c r="I95" s="15"/>
      <c r="J95" s="12"/>
      <c r="K95" s="15"/>
      <c r="L95" s="12"/>
      <c r="M95" s="16"/>
      <c r="N95" s="16"/>
      <c r="O95" s="16"/>
      <c r="P95" s="16"/>
    </row>
    <row r="96" spans="1:16" x14ac:dyDescent="0.3">
      <c r="A96" s="11" t="s">
        <v>19</v>
      </c>
      <c r="B96" s="13">
        <v>15</v>
      </c>
      <c r="C96" s="13">
        <v>5</v>
      </c>
      <c r="D96" s="22">
        <v>45566</v>
      </c>
      <c r="E96" s="12"/>
      <c r="F96" s="13">
        <v>3</v>
      </c>
      <c r="G96" s="22">
        <v>45352</v>
      </c>
      <c r="H96" s="12"/>
      <c r="I96" s="15"/>
      <c r="J96" s="12"/>
      <c r="K96" s="15"/>
      <c r="L96" s="12"/>
      <c r="M96" s="16"/>
      <c r="N96" s="16"/>
      <c r="O96" s="16"/>
      <c r="P96" s="16"/>
    </row>
    <row r="97" spans="1:16" x14ac:dyDescent="0.3">
      <c r="A97" s="11" t="s">
        <v>20</v>
      </c>
      <c r="B97" s="13">
        <v>22</v>
      </c>
      <c r="C97" s="13">
        <v>12</v>
      </c>
      <c r="D97" s="22">
        <v>45536</v>
      </c>
      <c r="E97" s="12"/>
      <c r="F97" s="13">
        <v>6</v>
      </c>
      <c r="G97" s="14">
        <v>45536</v>
      </c>
      <c r="H97" s="12"/>
      <c r="I97" s="15"/>
      <c r="J97" s="12"/>
      <c r="K97" s="15"/>
      <c r="L97" s="12"/>
      <c r="M97" s="16"/>
      <c r="N97" s="16"/>
      <c r="O97" s="16"/>
      <c r="P97" s="16"/>
    </row>
    <row r="98" spans="1:16" x14ac:dyDescent="0.3">
      <c r="A98" s="11" t="s">
        <v>21</v>
      </c>
      <c r="B98" s="13">
        <v>110</v>
      </c>
      <c r="C98" s="13">
        <v>36</v>
      </c>
      <c r="D98" s="22">
        <v>45444</v>
      </c>
      <c r="E98" s="12"/>
      <c r="F98" s="13">
        <v>5</v>
      </c>
      <c r="G98" s="22">
        <v>45323</v>
      </c>
      <c r="H98" s="12"/>
      <c r="I98" s="15"/>
      <c r="J98" s="12"/>
      <c r="K98" s="15"/>
      <c r="L98" s="12"/>
      <c r="M98" s="16"/>
      <c r="N98" s="16"/>
      <c r="O98" s="16"/>
      <c r="P98" s="16"/>
    </row>
    <row r="99" spans="1:16" x14ac:dyDescent="0.3">
      <c r="A99" s="11" t="s">
        <v>22</v>
      </c>
      <c r="B99" s="13">
        <v>6</v>
      </c>
      <c r="C99" s="13">
        <v>2</v>
      </c>
      <c r="D99" s="14">
        <v>45352</v>
      </c>
      <c r="E99" s="12"/>
      <c r="F99" s="13">
        <v>0</v>
      </c>
      <c r="G99" s="12">
        <v>0</v>
      </c>
      <c r="H99" s="12"/>
      <c r="I99" s="15"/>
      <c r="J99" s="12"/>
      <c r="K99" s="15"/>
      <c r="L99" s="12"/>
      <c r="M99" s="16"/>
      <c r="N99" s="16"/>
      <c r="O99" s="16"/>
      <c r="P99" s="16"/>
    </row>
    <row r="100" spans="1:16" x14ac:dyDescent="0.3">
      <c r="A100" s="17" t="s">
        <v>23</v>
      </c>
      <c r="B100" s="21"/>
      <c r="C100" s="21"/>
      <c r="D100" s="16"/>
      <c r="E100" s="16"/>
      <c r="F100" s="21"/>
      <c r="G100" s="16"/>
      <c r="H100" s="16"/>
      <c r="I100" s="18"/>
      <c r="J100" s="18"/>
      <c r="K100" s="18"/>
      <c r="L100" s="18"/>
      <c r="M100" s="20"/>
      <c r="N100" s="20"/>
      <c r="O100" s="19"/>
      <c r="P100" s="19"/>
    </row>
    <row r="101" spans="1:16" x14ac:dyDescent="0.3">
      <c r="A101" s="10" t="s">
        <v>33</v>
      </c>
    </row>
    <row r="102" spans="1:16" ht="13.95" customHeight="1" x14ac:dyDescent="0.3">
      <c r="A102" s="73" t="s">
        <v>2</v>
      </c>
      <c r="B102" s="73" t="s">
        <v>3</v>
      </c>
      <c r="C102" s="73" t="s">
        <v>34</v>
      </c>
      <c r="D102" s="73" t="s">
        <v>4</v>
      </c>
      <c r="E102" s="73" t="s">
        <v>5</v>
      </c>
      <c r="F102" s="73" t="s">
        <v>35</v>
      </c>
      <c r="G102" s="73" t="s">
        <v>6</v>
      </c>
      <c r="H102" s="73" t="s">
        <v>7</v>
      </c>
      <c r="I102" s="73" t="s">
        <v>8</v>
      </c>
      <c r="J102" s="73" t="s">
        <v>9</v>
      </c>
      <c r="K102" s="73" t="s">
        <v>10</v>
      </c>
      <c r="L102" s="73" t="s">
        <v>11</v>
      </c>
      <c r="M102" s="73" t="s">
        <v>12</v>
      </c>
      <c r="N102" s="73" t="s">
        <v>13</v>
      </c>
      <c r="O102" s="73" t="s">
        <v>14</v>
      </c>
      <c r="P102" s="73" t="s">
        <v>15</v>
      </c>
    </row>
    <row r="103" spans="1:16" ht="39.299999999999997" customHeight="1" x14ac:dyDescent="0.3">
      <c r="A103" s="74"/>
      <c r="B103" s="74"/>
      <c r="C103" s="74"/>
      <c r="D103" s="74"/>
      <c r="E103" s="74"/>
      <c r="F103" s="74"/>
      <c r="G103" s="74"/>
      <c r="H103" s="74"/>
      <c r="I103" s="74"/>
      <c r="J103" s="74"/>
      <c r="K103" s="74"/>
      <c r="L103" s="74"/>
      <c r="M103" s="74"/>
      <c r="N103" s="74"/>
      <c r="O103" s="74"/>
      <c r="P103" s="74"/>
    </row>
    <row r="104" spans="1:16" x14ac:dyDescent="0.3">
      <c r="A104" s="11" t="s">
        <v>16</v>
      </c>
      <c r="B104" s="13">
        <v>450</v>
      </c>
      <c r="C104" s="13">
        <v>10</v>
      </c>
      <c r="D104" s="14">
        <v>45352</v>
      </c>
      <c r="E104" s="12"/>
      <c r="F104" s="13">
        <v>0</v>
      </c>
      <c r="G104" s="12">
        <v>0</v>
      </c>
      <c r="H104" s="12"/>
      <c r="I104" s="15"/>
      <c r="J104" s="12"/>
      <c r="K104" s="15"/>
      <c r="L104" s="12"/>
      <c r="M104" s="16"/>
      <c r="N104" s="16"/>
      <c r="O104" s="16"/>
      <c r="P104" s="16"/>
    </row>
    <row r="105" spans="1:16" x14ac:dyDescent="0.3">
      <c r="A105" s="11" t="s">
        <v>17</v>
      </c>
      <c r="B105" s="13">
        <v>60</v>
      </c>
      <c r="C105" s="13">
        <v>30</v>
      </c>
      <c r="D105" s="14">
        <v>45413</v>
      </c>
      <c r="E105" s="12"/>
      <c r="F105" s="13">
        <v>0</v>
      </c>
      <c r="G105" s="12">
        <v>0</v>
      </c>
      <c r="H105" s="12"/>
      <c r="I105" s="15"/>
      <c r="J105" s="12"/>
      <c r="K105" s="15"/>
      <c r="L105" s="12"/>
      <c r="M105" s="16"/>
      <c r="N105" s="16"/>
      <c r="O105" s="16"/>
      <c r="P105" s="16"/>
    </row>
    <row r="106" spans="1:16" x14ac:dyDescent="0.3">
      <c r="A106" s="11" t="s">
        <v>18</v>
      </c>
      <c r="B106" s="13">
        <v>3675</v>
      </c>
      <c r="C106" s="13">
        <v>895</v>
      </c>
      <c r="D106" s="14">
        <v>45474</v>
      </c>
      <c r="E106" s="12"/>
      <c r="F106" s="13">
        <v>50</v>
      </c>
      <c r="G106" s="14">
        <v>45323</v>
      </c>
      <c r="H106" s="12"/>
      <c r="I106" s="15"/>
      <c r="J106" s="12"/>
      <c r="K106" s="15"/>
      <c r="L106" s="12"/>
      <c r="M106" s="16"/>
      <c r="N106" s="16"/>
      <c r="O106" s="16"/>
      <c r="P106" s="16"/>
    </row>
    <row r="107" spans="1:16" x14ac:dyDescent="0.3">
      <c r="A107" s="11" t="s">
        <v>19</v>
      </c>
      <c r="B107" s="13">
        <v>88</v>
      </c>
      <c r="C107" s="13">
        <v>0</v>
      </c>
      <c r="D107" s="12">
        <v>0</v>
      </c>
      <c r="E107" s="12"/>
      <c r="F107" s="13">
        <v>3</v>
      </c>
      <c r="G107" s="22">
        <v>45505</v>
      </c>
      <c r="H107" s="12"/>
      <c r="I107" s="15"/>
      <c r="J107" s="12"/>
      <c r="K107" s="15"/>
      <c r="L107" s="12"/>
      <c r="M107" s="16"/>
      <c r="N107" s="16"/>
      <c r="O107" s="16"/>
      <c r="P107" s="16"/>
    </row>
    <row r="108" spans="1:16" x14ac:dyDescent="0.3">
      <c r="A108" s="11" t="s">
        <v>20</v>
      </c>
      <c r="B108" s="13">
        <v>36</v>
      </c>
      <c r="C108" s="13">
        <v>8</v>
      </c>
      <c r="D108" s="22">
        <v>45505</v>
      </c>
      <c r="E108" s="12"/>
      <c r="F108" s="13">
        <v>6</v>
      </c>
      <c r="G108" s="14">
        <v>45352</v>
      </c>
      <c r="H108" s="12"/>
      <c r="I108" s="15"/>
      <c r="J108" s="12"/>
      <c r="K108" s="15"/>
      <c r="L108" s="12"/>
      <c r="M108" s="16"/>
      <c r="N108" s="16"/>
      <c r="O108" s="16"/>
      <c r="P108" s="16"/>
    </row>
    <row r="109" spans="1:16" x14ac:dyDescent="0.3">
      <c r="A109" s="11" t="s">
        <v>21</v>
      </c>
      <c r="B109" s="13">
        <v>75</v>
      </c>
      <c r="C109" s="13">
        <v>23</v>
      </c>
      <c r="D109" s="22">
        <v>45323</v>
      </c>
      <c r="E109" s="12"/>
      <c r="F109" s="13">
        <v>0</v>
      </c>
      <c r="G109" s="12">
        <v>0</v>
      </c>
      <c r="H109" s="12"/>
      <c r="I109" s="15"/>
      <c r="J109" s="12"/>
      <c r="K109" s="15"/>
      <c r="L109" s="12"/>
      <c r="M109" s="16"/>
      <c r="N109" s="16"/>
      <c r="O109" s="16"/>
      <c r="P109" s="16"/>
    </row>
    <row r="110" spans="1:16" x14ac:dyDescent="0.3">
      <c r="A110" s="11" t="s">
        <v>22</v>
      </c>
      <c r="B110" s="13">
        <v>24</v>
      </c>
      <c r="C110" s="13">
        <v>0</v>
      </c>
      <c r="D110" s="12">
        <v>0</v>
      </c>
      <c r="E110" s="12"/>
      <c r="F110" s="13">
        <v>7</v>
      </c>
      <c r="G110" s="22">
        <v>45566</v>
      </c>
      <c r="H110" s="12"/>
      <c r="I110" s="15"/>
      <c r="J110" s="12"/>
      <c r="K110" s="15"/>
      <c r="L110" s="12"/>
      <c r="M110" s="16"/>
      <c r="N110" s="16"/>
      <c r="O110" s="16"/>
      <c r="P110" s="16"/>
    </row>
    <row r="111" spans="1:16" x14ac:dyDescent="0.3">
      <c r="A111" s="17" t="s">
        <v>23</v>
      </c>
      <c r="B111" s="21"/>
      <c r="C111" s="21"/>
      <c r="D111" s="16"/>
      <c r="E111" s="16"/>
      <c r="F111" s="21"/>
      <c r="G111" s="16"/>
      <c r="H111" s="16"/>
      <c r="I111" s="18"/>
      <c r="J111" s="18"/>
      <c r="K111" s="18"/>
      <c r="L111" s="18"/>
      <c r="M111" s="20"/>
      <c r="N111" s="20"/>
      <c r="O111" s="19"/>
      <c r="P111" s="19"/>
    </row>
  </sheetData>
  <mergeCells count="161">
    <mergeCell ref="U14:AE25"/>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B36:B37"/>
    <mergeCell ref="C36:C37"/>
    <mergeCell ref="D36:D37"/>
    <mergeCell ref="E36:E37"/>
    <mergeCell ref="F36:F37"/>
    <mergeCell ref="G25:G26"/>
    <mergeCell ref="H25:H26"/>
    <mergeCell ref="I25:I26"/>
    <mergeCell ref="G47:G48"/>
    <mergeCell ref="H47:H48"/>
    <mergeCell ref="I47:I48"/>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C80:C81"/>
    <mergeCell ref="D80:D81"/>
    <mergeCell ref="E80:E81"/>
    <mergeCell ref="F80:F81"/>
    <mergeCell ref="G69:G70"/>
    <mergeCell ref="H69:H70"/>
    <mergeCell ref="I69:I70"/>
    <mergeCell ref="M58:M59"/>
    <mergeCell ref="C58:C59"/>
    <mergeCell ref="D58:D59"/>
    <mergeCell ref="E58:E59"/>
    <mergeCell ref="F58:F59"/>
    <mergeCell ref="M80:M81"/>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A102:A103"/>
    <mergeCell ref="B102:B103"/>
    <mergeCell ref="C102:C103"/>
    <mergeCell ref="D102:D103"/>
    <mergeCell ref="E102:E103"/>
    <mergeCell ref="F102:F103"/>
    <mergeCell ref="G91:G92"/>
    <mergeCell ref="H91:H92"/>
    <mergeCell ref="I91:I92"/>
    <mergeCell ref="M102:M103"/>
    <mergeCell ref="N102:N103"/>
    <mergeCell ref="O102:O103"/>
    <mergeCell ref="P102:P103"/>
    <mergeCell ref="G102:G103"/>
    <mergeCell ref="H102:H103"/>
    <mergeCell ref="I102:I103"/>
    <mergeCell ref="J102:J103"/>
    <mergeCell ref="K102:K103"/>
    <mergeCell ref="L102:L10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A15"/>
  <sheetViews>
    <sheetView workbookViewId="0">
      <selection activeCell="C12" sqref="C12"/>
    </sheetView>
  </sheetViews>
  <sheetFormatPr defaultRowHeight="14.4" x14ac:dyDescent="0.3"/>
  <cols>
    <col min="1" max="1" width="90.5546875" customWidth="1"/>
  </cols>
  <sheetData>
    <row r="1" spans="1:1" ht="18" x14ac:dyDescent="0.3">
      <c r="A1" s="1" t="s">
        <v>0</v>
      </c>
    </row>
    <row r="2" spans="1:1" ht="31.2" x14ac:dyDescent="0.3">
      <c r="A2" s="2" t="s">
        <v>36</v>
      </c>
    </row>
    <row r="3" spans="1:1" ht="15.6" x14ac:dyDescent="0.3">
      <c r="A3" s="3"/>
    </row>
    <row r="4" spans="1:1" ht="15.6" x14ac:dyDescent="0.3">
      <c r="A4" s="4" t="s">
        <v>37</v>
      </c>
    </row>
    <row r="5" spans="1:1" ht="15.6" x14ac:dyDescent="0.3">
      <c r="A5" s="3" t="s">
        <v>38</v>
      </c>
    </row>
    <row r="6" spans="1:1" ht="15.6" x14ac:dyDescent="0.3">
      <c r="A6" s="5" t="s">
        <v>39</v>
      </c>
    </row>
    <row r="7" spans="1:1" ht="15.6" x14ac:dyDescent="0.3">
      <c r="A7" s="3"/>
    </row>
    <row r="8" spans="1:1" ht="15.6" x14ac:dyDescent="0.3">
      <c r="A8" s="6" t="s">
        <v>40</v>
      </c>
    </row>
    <row r="9" spans="1:1" ht="15.6" x14ac:dyDescent="0.3">
      <c r="A9" s="23" t="s">
        <v>41</v>
      </c>
    </row>
    <row r="10" spans="1:1" ht="15.6" x14ac:dyDescent="0.3">
      <c r="A10" s="9" t="s">
        <v>42</v>
      </c>
    </row>
    <row r="11" spans="1:1" ht="46.8" x14ac:dyDescent="0.3">
      <c r="A11" s="24" t="s">
        <v>43</v>
      </c>
    </row>
    <row r="12" spans="1:1" ht="15.6" x14ac:dyDescent="0.3">
      <c r="A12" s="23" t="s">
        <v>44</v>
      </c>
    </row>
    <row r="13" spans="1:1" ht="62.4" x14ac:dyDescent="0.3">
      <c r="A13" s="6" t="s">
        <v>45</v>
      </c>
    </row>
    <row r="14" spans="1:1" ht="15.6" x14ac:dyDescent="0.35">
      <c r="A14" s="9"/>
    </row>
    <row r="15" spans="1:1" ht="15.6" x14ac:dyDescent="0.3">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K20"/>
  <sheetViews>
    <sheetView topLeftCell="A3" zoomScale="116" workbookViewId="0">
      <selection activeCell="C22" sqref="C22"/>
    </sheetView>
  </sheetViews>
  <sheetFormatPr defaultRowHeight="14.4" x14ac:dyDescent="0.3"/>
  <cols>
    <col min="1" max="1" width="49.33203125" customWidth="1"/>
  </cols>
  <sheetData>
    <row r="1" spans="1:11" ht="15.6" x14ac:dyDescent="0.3">
      <c r="A1" s="7" t="s">
        <v>47</v>
      </c>
      <c r="B1" s="27"/>
      <c r="C1" s="27"/>
      <c r="D1" s="27"/>
      <c r="E1" s="27"/>
      <c r="F1" s="27"/>
      <c r="G1" s="27"/>
      <c r="H1" s="27"/>
      <c r="I1" s="27"/>
      <c r="J1" s="27"/>
      <c r="K1" s="27"/>
    </row>
    <row r="2" spans="1:11" ht="15.6" x14ac:dyDescent="0.3">
      <c r="A2" s="25" t="s">
        <v>48</v>
      </c>
      <c r="B2" s="28"/>
      <c r="C2" s="28"/>
      <c r="D2" s="28"/>
      <c r="E2" s="28"/>
      <c r="F2" s="28"/>
      <c r="G2" s="28"/>
      <c r="H2" s="28"/>
      <c r="I2" s="28"/>
      <c r="J2" s="28"/>
      <c r="K2" s="28"/>
    </row>
    <row r="3" spans="1:11" x14ac:dyDescent="0.3">
      <c r="A3" s="80" t="s">
        <v>49</v>
      </c>
      <c r="B3" s="81" t="s">
        <v>50</v>
      </c>
      <c r="C3" s="81"/>
      <c r="D3" s="81"/>
      <c r="E3" s="81"/>
      <c r="F3" s="81"/>
      <c r="G3" s="81"/>
      <c r="H3" s="81"/>
      <c r="I3" s="81"/>
      <c r="J3" s="81"/>
      <c r="K3" s="81"/>
    </row>
    <row r="4" spans="1:11" x14ac:dyDescent="0.3">
      <c r="A4" s="80"/>
      <c r="B4" s="29">
        <v>1</v>
      </c>
      <c r="C4" s="29">
        <v>2</v>
      </c>
      <c r="D4" s="29">
        <v>3</v>
      </c>
      <c r="E4" s="29">
        <v>4</v>
      </c>
      <c r="F4" s="29">
        <v>5</v>
      </c>
      <c r="G4" s="29">
        <v>6</v>
      </c>
      <c r="H4" s="29">
        <v>7</v>
      </c>
      <c r="I4" s="29">
        <v>8</v>
      </c>
      <c r="J4" s="29">
        <v>9</v>
      </c>
      <c r="K4" s="29">
        <v>10</v>
      </c>
    </row>
    <row r="5" spans="1:11" x14ac:dyDescent="0.3">
      <c r="A5" s="30" t="s">
        <v>51</v>
      </c>
      <c r="B5" s="13">
        <v>950</v>
      </c>
      <c r="C5" s="13">
        <v>1320</v>
      </c>
      <c r="D5" s="13">
        <v>1580</v>
      </c>
      <c r="E5" s="13">
        <v>2230</v>
      </c>
      <c r="F5" s="13">
        <v>990</v>
      </c>
      <c r="G5" s="13">
        <v>1870</v>
      </c>
      <c r="H5" s="13">
        <v>1445</v>
      </c>
      <c r="I5" s="13">
        <v>1270</v>
      </c>
      <c r="J5" s="13">
        <v>845</v>
      </c>
      <c r="K5" s="13">
        <v>3020</v>
      </c>
    </row>
    <row r="6" spans="1:11" x14ac:dyDescent="0.3">
      <c r="A6" s="31" t="s">
        <v>52</v>
      </c>
      <c r="B6" s="13">
        <v>15</v>
      </c>
      <c r="C6" s="13">
        <v>8</v>
      </c>
      <c r="D6" s="13">
        <v>10</v>
      </c>
      <c r="E6" s="13">
        <v>20</v>
      </c>
      <c r="F6" s="13">
        <v>14</v>
      </c>
      <c r="G6" s="13">
        <v>0</v>
      </c>
      <c r="H6" s="13">
        <v>18</v>
      </c>
      <c r="I6" s="13">
        <v>25</v>
      </c>
      <c r="J6" s="13">
        <v>32</v>
      </c>
      <c r="K6" s="13">
        <v>12</v>
      </c>
    </row>
    <row r="7" spans="1:11" x14ac:dyDescent="0.3">
      <c r="A7" s="31" t="s">
        <v>53</v>
      </c>
      <c r="B7" s="13">
        <v>22</v>
      </c>
      <c r="C7" s="13">
        <v>14</v>
      </c>
      <c r="D7" s="13">
        <v>0</v>
      </c>
      <c r="E7" s="13">
        <v>47</v>
      </c>
      <c r="F7" s="13">
        <v>1.5</v>
      </c>
      <c r="G7" s="13">
        <v>22</v>
      </c>
      <c r="H7" s="13">
        <v>0</v>
      </c>
      <c r="I7" s="13">
        <v>18</v>
      </c>
      <c r="J7" s="13">
        <v>24</v>
      </c>
      <c r="K7" s="13">
        <v>18</v>
      </c>
    </row>
    <row r="8" spans="1:11" x14ac:dyDescent="0.3">
      <c r="A8" s="31" t="s">
        <v>54</v>
      </c>
      <c r="B8" s="13">
        <v>17</v>
      </c>
      <c r="C8" s="13">
        <v>11</v>
      </c>
      <c r="D8" s="13">
        <v>26</v>
      </c>
      <c r="E8" s="13">
        <v>0</v>
      </c>
      <c r="F8" s="13">
        <v>16</v>
      </c>
      <c r="G8" s="13">
        <v>31</v>
      </c>
      <c r="H8" s="13">
        <v>23</v>
      </c>
      <c r="I8" s="13">
        <v>0</v>
      </c>
      <c r="J8" s="13">
        <v>3</v>
      </c>
      <c r="K8" s="13">
        <v>35</v>
      </c>
    </row>
    <row r="9" spans="1:11" x14ac:dyDescent="0.3">
      <c r="A9" s="31" t="s">
        <v>55</v>
      </c>
      <c r="B9" s="13">
        <v>30</v>
      </c>
      <c r="C9" s="13">
        <v>16</v>
      </c>
      <c r="D9" s="13">
        <v>12</v>
      </c>
      <c r="E9" s="13">
        <v>9</v>
      </c>
      <c r="F9" s="13">
        <v>0</v>
      </c>
      <c r="G9" s="13">
        <v>10</v>
      </c>
      <c r="H9" s="13">
        <v>5</v>
      </c>
      <c r="I9" s="13">
        <v>7</v>
      </c>
      <c r="J9" s="13">
        <v>0</v>
      </c>
      <c r="K9" s="13">
        <v>8</v>
      </c>
    </row>
    <row r="10" spans="1:11" x14ac:dyDescent="0.3">
      <c r="A10" s="11" t="s">
        <v>56</v>
      </c>
      <c r="B10" s="13">
        <v>130000</v>
      </c>
      <c r="C10" s="13">
        <v>222000</v>
      </c>
      <c r="D10" s="13">
        <v>520000</v>
      </c>
      <c r="E10" s="13">
        <v>315000</v>
      </c>
      <c r="F10" s="13">
        <v>127000</v>
      </c>
      <c r="G10" s="13">
        <v>248000</v>
      </c>
      <c r="H10" s="13">
        <v>470000</v>
      </c>
      <c r="I10" s="13">
        <v>196000</v>
      </c>
      <c r="J10" s="13">
        <v>256000</v>
      </c>
      <c r="K10" s="13">
        <v>309000</v>
      </c>
    </row>
    <row r="11" spans="1:11" x14ac:dyDescent="0.3">
      <c r="A11" s="11" t="s">
        <v>57</v>
      </c>
      <c r="B11" s="14">
        <v>45017</v>
      </c>
      <c r="C11" s="14">
        <v>44958</v>
      </c>
      <c r="D11" s="14">
        <v>45214</v>
      </c>
      <c r="E11" s="14">
        <v>44941</v>
      </c>
      <c r="F11" s="14">
        <v>44986</v>
      </c>
      <c r="G11" s="14">
        <v>45139</v>
      </c>
      <c r="H11" s="14">
        <v>45184</v>
      </c>
      <c r="I11" s="14">
        <v>45245</v>
      </c>
      <c r="J11" s="14">
        <v>45047</v>
      </c>
      <c r="K11" s="14">
        <v>45108</v>
      </c>
    </row>
    <row r="12" spans="1:11" x14ac:dyDescent="0.3">
      <c r="A12" s="32" t="s">
        <v>58</v>
      </c>
      <c r="B12" s="33"/>
      <c r="C12" s="33">
        <v>9</v>
      </c>
      <c r="D12" s="33"/>
      <c r="E12" s="33"/>
      <c r="F12" s="33"/>
      <c r="G12" s="33"/>
      <c r="H12" s="33"/>
      <c r="I12" s="33"/>
      <c r="J12" s="33"/>
      <c r="K12" s="33"/>
    </row>
    <row r="13" spans="1:11" x14ac:dyDescent="0.3">
      <c r="A13" s="11" t="s">
        <v>59</v>
      </c>
      <c r="B13" s="13">
        <v>540000</v>
      </c>
      <c r="C13" s="13">
        <v>780000</v>
      </c>
      <c r="D13" s="13">
        <v>110000</v>
      </c>
      <c r="E13" s="13">
        <v>198000</v>
      </c>
      <c r="F13" s="13">
        <v>170000</v>
      </c>
      <c r="G13" s="13">
        <v>56000</v>
      </c>
      <c r="H13" s="13">
        <v>94000</v>
      </c>
      <c r="I13" s="13">
        <v>187000</v>
      </c>
      <c r="J13" s="13">
        <v>204000</v>
      </c>
      <c r="K13" s="13">
        <v>125000</v>
      </c>
    </row>
    <row r="14" spans="1:11" x14ac:dyDescent="0.3">
      <c r="A14" s="11" t="s">
        <v>60</v>
      </c>
      <c r="B14" s="14">
        <v>45245</v>
      </c>
      <c r="C14" s="14">
        <v>45122</v>
      </c>
      <c r="D14" s="14">
        <v>45139</v>
      </c>
      <c r="E14" s="14">
        <v>45017</v>
      </c>
      <c r="F14" s="14">
        <v>45214</v>
      </c>
      <c r="G14" s="14">
        <v>45245</v>
      </c>
      <c r="H14" s="14">
        <v>44958</v>
      </c>
      <c r="I14" s="14">
        <v>45261</v>
      </c>
      <c r="J14" s="14">
        <v>45184</v>
      </c>
      <c r="K14" s="14">
        <v>45000</v>
      </c>
    </row>
    <row r="15" spans="1:11" x14ac:dyDescent="0.3">
      <c r="A15" s="32" t="s">
        <v>58</v>
      </c>
      <c r="B15" s="33"/>
      <c r="C15" s="33">
        <v>10.5</v>
      </c>
      <c r="D15" s="33"/>
      <c r="E15" s="33"/>
      <c r="F15" s="33"/>
      <c r="G15" s="33"/>
      <c r="H15" s="33"/>
      <c r="I15" s="33"/>
      <c r="J15" s="33"/>
      <c r="K15" s="33"/>
    </row>
    <row r="16" spans="1:11" ht="16.649999999999999" customHeight="1" x14ac:dyDescent="0.3">
      <c r="A16" s="34" t="s">
        <v>61</v>
      </c>
      <c r="B16" s="13">
        <v>102</v>
      </c>
      <c r="C16" s="13">
        <v>155</v>
      </c>
      <c r="D16" s="13">
        <v>306</v>
      </c>
      <c r="E16" s="13">
        <v>177</v>
      </c>
      <c r="F16" s="13">
        <v>250</v>
      </c>
      <c r="G16" s="13">
        <v>111</v>
      </c>
      <c r="H16" s="13">
        <v>98</v>
      </c>
      <c r="I16" s="13">
        <v>140</v>
      </c>
      <c r="J16" s="13">
        <v>163</v>
      </c>
      <c r="K16" s="13">
        <v>294</v>
      </c>
    </row>
    <row r="17" spans="1:11" x14ac:dyDescent="0.3">
      <c r="A17" s="35" t="s">
        <v>62</v>
      </c>
      <c r="B17" s="36"/>
      <c r="C17" s="36">
        <f>(C5-SUM(C6:C9))+((C10/1000)*C12/12)-((C13/1000)*(12-C15)/12)</f>
        <v>1340</v>
      </c>
      <c r="D17" s="36"/>
      <c r="E17" s="36"/>
      <c r="F17" s="36"/>
      <c r="G17" s="36"/>
      <c r="H17" s="36"/>
      <c r="I17" s="36"/>
      <c r="J17" s="36"/>
      <c r="K17" s="36"/>
    </row>
    <row r="18" spans="1:11" x14ac:dyDescent="0.3">
      <c r="A18" s="35" t="s">
        <v>63</v>
      </c>
      <c r="B18" s="36"/>
      <c r="C18" s="36">
        <f>C16*100/C17</f>
        <v>11.567164179104477</v>
      </c>
      <c r="D18" s="36"/>
      <c r="E18" s="36"/>
      <c r="F18" s="36"/>
      <c r="G18" s="36"/>
      <c r="H18" s="36"/>
      <c r="I18" s="36"/>
      <c r="J18" s="36"/>
      <c r="K18" s="36"/>
    </row>
    <row r="19" spans="1:11" x14ac:dyDescent="0.3">
      <c r="A19" s="17" t="s">
        <v>111</v>
      </c>
      <c r="B19" s="57">
        <v>4</v>
      </c>
      <c r="C19" s="57">
        <v>6</v>
      </c>
      <c r="D19" s="57">
        <v>2</v>
      </c>
      <c r="E19" s="57">
        <v>6.5</v>
      </c>
      <c r="F19" s="57">
        <v>2.5</v>
      </c>
      <c r="G19" s="57">
        <v>10</v>
      </c>
      <c r="H19" s="57">
        <v>12</v>
      </c>
      <c r="I19" s="57">
        <v>7</v>
      </c>
      <c r="J19" s="57">
        <v>3.5</v>
      </c>
      <c r="K19" s="57">
        <v>4.5</v>
      </c>
    </row>
    <row r="20" spans="1:11" x14ac:dyDescent="0.3">
      <c r="A20" s="40" t="s">
        <v>69</v>
      </c>
      <c r="B20" s="41"/>
      <c r="C20" s="41">
        <f>C16*C19/C17</f>
        <v>0.69402985074626866</v>
      </c>
      <c r="D20" s="41"/>
      <c r="E20" s="41"/>
      <c r="F20" s="41"/>
      <c r="G20" s="41"/>
      <c r="H20" s="41"/>
      <c r="I20" s="41"/>
      <c r="J20" s="41"/>
      <c r="K20" s="41"/>
    </row>
  </sheetData>
  <mergeCells count="2">
    <mergeCell ref="A3:A4"/>
    <mergeCell ref="B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A13"/>
  <sheetViews>
    <sheetView workbookViewId="0">
      <selection activeCell="A16" sqref="A16"/>
    </sheetView>
  </sheetViews>
  <sheetFormatPr defaultRowHeight="14.4" x14ac:dyDescent="0.3"/>
  <cols>
    <col min="1" max="1" width="92.77734375" customWidth="1"/>
  </cols>
  <sheetData>
    <row r="1" spans="1:1" ht="15.6" x14ac:dyDescent="0.3">
      <c r="A1" s="37" t="s">
        <v>0</v>
      </c>
    </row>
    <row r="2" spans="1:1" ht="31.2" x14ac:dyDescent="0.3">
      <c r="A2" s="2" t="s">
        <v>64</v>
      </c>
    </row>
    <row r="3" spans="1:1" ht="15.6" x14ac:dyDescent="0.3">
      <c r="A3" s="3"/>
    </row>
    <row r="4" spans="1:1" ht="15.6" x14ac:dyDescent="0.3">
      <c r="A4" s="6" t="s">
        <v>65</v>
      </c>
    </row>
    <row r="5" spans="1:1" ht="15.6" x14ac:dyDescent="0.3">
      <c r="A5" s="23" t="s">
        <v>41</v>
      </c>
    </row>
    <row r="6" spans="1:1" ht="15.6" x14ac:dyDescent="0.3">
      <c r="A6" s="9" t="s">
        <v>66</v>
      </c>
    </row>
    <row r="7" spans="1:1" ht="31.2" x14ac:dyDescent="0.3">
      <c r="A7" s="38" t="s">
        <v>67</v>
      </c>
    </row>
    <row r="8" spans="1:1" ht="15.6" x14ac:dyDescent="0.3">
      <c r="A8" s="24" t="s">
        <v>68</v>
      </c>
    </row>
    <row r="9" spans="1:1" ht="18" x14ac:dyDescent="0.4">
      <c r="A9" s="23" t="s">
        <v>70</v>
      </c>
    </row>
    <row r="10" spans="1:1" ht="31.2" x14ac:dyDescent="0.3">
      <c r="A10" s="39" t="s">
        <v>71</v>
      </c>
    </row>
    <row r="11" spans="1:1" ht="15.6" x14ac:dyDescent="0.3">
      <c r="A11" s="42" t="s">
        <v>112</v>
      </c>
    </row>
    <row r="12" spans="1:1" ht="15.6" x14ac:dyDescent="0.3">
      <c r="A12" s="23" t="s">
        <v>113</v>
      </c>
    </row>
    <row r="13" spans="1:1" ht="15.6" x14ac:dyDescent="0.35">
      <c r="A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W36"/>
  <sheetViews>
    <sheetView zoomScale="91" zoomScaleNormal="115" workbookViewId="0">
      <selection activeCell="P25" sqref="P25"/>
    </sheetView>
  </sheetViews>
  <sheetFormatPr defaultRowHeight="14.4" x14ac:dyDescent="0.3"/>
  <cols>
    <col min="1" max="1" width="30.88671875" customWidth="1"/>
    <col min="13" max="13" width="17.6640625" customWidth="1"/>
    <col min="14" max="14" width="9" customWidth="1"/>
    <col min="15" max="15" width="9.77734375" customWidth="1"/>
  </cols>
  <sheetData>
    <row r="1" spans="1:23" ht="18" x14ac:dyDescent="0.35">
      <c r="A1" s="53" t="s">
        <v>99</v>
      </c>
      <c r="B1" s="43"/>
      <c r="C1" s="43"/>
      <c r="D1" s="43"/>
      <c r="E1" s="43"/>
      <c r="F1" s="43"/>
      <c r="G1" s="43"/>
      <c r="H1" s="43"/>
      <c r="I1" s="43"/>
      <c r="J1" s="43"/>
      <c r="K1" s="43"/>
    </row>
    <row r="2" spans="1:23" ht="18" x14ac:dyDescent="0.35">
      <c r="A2" s="25" t="s">
        <v>98</v>
      </c>
      <c r="B2" s="44"/>
      <c r="C2" s="44"/>
      <c r="D2" s="44"/>
      <c r="E2" s="44"/>
      <c r="F2" s="44"/>
      <c r="G2" s="44"/>
      <c r="H2" s="44"/>
      <c r="I2" s="44"/>
      <c r="J2" s="44"/>
      <c r="K2" s="44"/>
      <c r="M2" s="56" t="s">
        <v>101</v>
      </c>
      <c r="N2" s="45">
        <v>1</v>
      </c>
      <c r="O2" s="45">
        <v>2</v>
      </c>
      <c r="P2" s="45">
        <v>3</v>
      </c>
      <c r="Q2" s="45">
        <v>4</v>
      </c>
      <c r="R2" s="45">
        <v>5</v>
      </c>
      <c r="S2" s="45">
        <v>6</v>
      </c>
      <c r="T2" s="45">
        <v>7</v>
      </c>
      <c r="U2" s="45">
        <v>8</v>
      </c>
      <c r="V2" s="45">
        <v>9</v>
      </c>
      <c r="W2" s="45">
        <v>10</v>
      </c>
    </row>
    <row r="3" spans="1:23" ht="11.25" customHeight="1" x14ac:dyDescent="0.3">
      <c r="A3" s="82" t="s">
        <v>100</v>
      </c>
      <c r="B3" s="83" t="s">
        <v>50</v>
      </c>
      <c r="C3" s="83"/>
      <c r="D3" s="83"/>
      <c r="E3" s="83"/>
      <c r="F3" s="83"/>
      <c r="G3" s="83"/>
      <c r="H3" s="83"/>
      <c r="I3" s="83"/>
      <c r="J3" s="83"/>
      <c r="K3" s="83"/>
      <c r="M3" s="46" t="s">
        <v>72</v>
      </c>
      <c r="N3" s="47"/>
      <c r="O3" s="47">
        <f>O15/O9*100</f>
        <v>98.00948794444173</v>
      </c>
      <c r="P3" s="47"/>
      <c r="Q3" s="47"/>
      <c r="R3" s="47"/>
      <c r="S3" s="47"/>
      <c r="T3" s="47"/>
      <c r="U3" s="47"/>
      <c r="V3" s="47"/>
      <c r="W3" s="47"/>
    </row>
    <row r="4" spans="1:23" ht="10.8" customHeight="1" x14ac:dyDescent="0.3">
      <c r="A4" s="82"/>
      <c r="B4" s="48">
        <v>1</v>
      </c>
      <c r="C4" s="48">
        <v>2</v>
      </c>
      <c r="D4" s="48">
        <v>3</v>
      </c>
      <c r="E4" s="48">
        <v>4</v>
      </c>
      <c r="F4" s="48">
        <v>5</v>
      </c>
      <c r="G4" s="48">
        <v>6</v>
      </c>
      <c r="H4" s="48">
        <v>7</v>
      </c>
      <c r="I4" s="48">
        <v>8</v>
      </c>
      <c r="J4" s="48">
        <v>9</v>
      </c>
      <c r="K4" s="48">
        <v>10</v>
      </c>
      <c r="M4" s="46" t="s">
        <v>73</v>
      </c>
      <c r="N4" s="47"/>
      <c r="O4" s="47">
        <f>O16/O10*100</f>
        <v>106.88955422488355</v>
      </c>
      <c r="P4" s="47"/>
      <c r="Q4" s="47"/>
      <c r="R4" s="47"/>
      <c r="S4" s="47"/>
      <c r="T4" s="47"/>
      <c r="U4" s="47"/>
      <c r="V4" s="47"/>
      <c r="W4" s="47"/>
    </row>
    <row r="5" spans="1:23" ht="10.199999999999999" customHeight="1" x14ac:dyDescent="0.3">
      <c r="A5" s="48" t="s">
        <v>74</v>
      </c>
      <c r="B5" s="48"/>
      <c r="C5" s="48"/>
      <c r="D5" s="48"/>
      <c r="E5" s="48"/>
      <c r="F5" s="48"/>
      <c r="G5" s="48"/>
      <c r="H5" s="48"/>
      <c r="I5" s="48"/>
      <c r="J5" s="48"/>
      <c r="K5" s="48"/>
      <c r="M5" s="46" t="s">
        <v>75</v>
      </c>
      <c r="N5" s="47"/>
      <c r="O5" s="47">
        <f>O17/O11*100</f>
        <v>117.64705882352942</v>
      </c>
      <c r="P5" s="47"/>
      <c r="Q5" s="47"/>
      <c r="R5" s="47"/>
      <c r="S5" s="47"/>
      <c r="T5" s="47"/>
      <c r="U5" s="47"/>
      <c r="V5" s="47"/>
      <c r="W5" s="47"/>
    </row>
    <row r="6" spans="1:23" ht="11.85" customHeight="1" x14ac:dyDescent="0.3">
      <c r="A6" s="49" t="s">
        <v>76</v>
      </c>
      <c r="B6" s="49"/>
      <c r="C6" s="49"/>
      <c r="D6" s="49"/>
      <c r="E6" s="49"/>
      <c r="F6" s="49"/>
      <c r="G6" s="49"/>
      <c r="H6" s="49"/>
      <c r="I6" s="49"/>
      <c r="J6" s="49"/>
      <c r="K6" s="49"/>
      <c r="M6" s="46" t="s">
        <v>77</v>
      </c>
      <c r="N6" s="47"/>
      <c r="O6" s="47">
        <f>O18/O12*100</f>
        <v>118.56319694896986</v>
      </c>
      <c r="P6" s="47"/>
      <c r="Q6" s="47"/>
      <c r="R6" s="47"/>
      <c r="S6" s="47"/>
      <c r="T6" s="47"/>
      <c r="U6" s="47"/>
      <c r="V6" s="47"/>
      <c r="W6" s="47"/>
    </row>
    <row r="7" spans="1:23" ht="11.25" customHeight="1" x14ac:dyDescent="0.3">
      <c r="A7" s="49" t="s">
        <v>78</v>
      </c>
      <c r="B7" s="49">
        <v>2000</v>
      </c>
      <c r="C7" s="49">
        <v>2500</v>
      </c>
      <c r="D7" s="49">
        <v>3600</v>
      </c>
      <c r="E7" s="49">
        <v>3500</v>
      </c>
      <c r="F7" s="49">
        <v>4000</v>
      </c>
      <c r="G7" s="49">
        <v>4200</v>
      </c>
      <c r="H7" s="49">
        <v>5000</v>
      </c>
      <c r="I7" s="49">
        <v>6000</v>
      </c>
      <c r="J7" s="49">
        <v>7700</v>
      </c>
      <c r="K7" s="49">
        <v>8000</v>
      </c>
      <c r="M7" s="46" t="s">
        <v>79</v>
      </c>
      <c r="N7" s="47"/>
      <c r="O7" s="47">
        <f>O19/O13*100</f>
        <v>119.76911976911975</v>
      </c>
      <c r="P7" s="47"/>
      <c r="Q7" s="47"/>
      <c r="R7" s="47"/>
      <c r="S7" s="47"/>
      <c r="T7" s="47"/>
      <c r="U7" s="47"/>
      <c r="V7" s="47"/>
      <c r="W7" s="47"/>
    </row>
    <row r="8" spans="1:23" ht="12.45" customHeight="1" x14ac:dyDescent="0.3">
      <c r="A8" s="49" t="s">
        <v>80</v>
      </c>
      <c r="B8" s="49">
        <v>1000</v>
      </c>
      <c r="C8" s="49">
        <v>1100</v>
      </c>
      <c r="D8" s="49">
        <v>1800</v>
      </c>
      <c r="E8" s="49">
        <v>1500</v>
      </c>
      <c r="F8" s="49">
        <v>2500</v>
      </c>
      <c r="G8" s="49">
        <v>3000</v>
      </c>
      <c r="H8" s="49">
        <v>3400</v>
      </c>
      <c r="I8" s="49">
        <v>4100</v>
      </c>
      <c r="J8" s="49">
        <v>4800</v>
      </c>
      <c r="K8" s="49">
        <v>5300</v>
      </c>
      <c r="M8" s="50" t="s">
        <v>81</v>
      </c>
      <c r="N8" s="47"/>
      <c r="O8" s="47"/>
      <c r="P8" s="47"/>
      <c r="Q8" s="47"/>
      <c r="R8" s="47"/>
      <c r="S8" s="47"/>
      <c r="T8" s="47"/>
      <c r="U8" s="47"/>
      <c r="V8" s="47"/>
      <c r="W8" s="47"/>
    </row>
    <row r="9" spans="1:23" ht="11.85" customHeight="1" x14ac:dyDescent="0.3">
      <c r="A9" s="49" t="s">
        <v>82</v>
      </c>
      <c r="B9" s="49">
        <v>6400</v>
      </c>
      <c r="C9" s="49">
        <v>5000</v>
      </c>
      <c r="D9" s="49">
        <v>4800</v>
      </c>
      <c r="E9" s="49">
        <v>4600</v>
      </c>
      <c r="F9" s="49">
        <v>4200</v>
      </c>
      <c r="G9" s="49">
        <v>5100</v>
      </c>
      <c r="H9" s="49">
        <v>5000</v>
      </c>
      <c r="I9" s="49">
        <v>3600</v>
      </c>
      <c r="J9" s="49">
        <v>3900</v>
      </c>
      <c r="K9" s="49">
        <v>4000</v>
      </c>
      <c r="M9" s="46" t="s">
        <v>83</v>
      </c>
      <c r="N9" s="47"/>
      <c r="O9" s="47">
        <f>(C7*C11+C8*C12+C9*C13)/(C18*1000)</f>
        <v>2.0570422535211268</v>
      </c>
      <c r="P9" s="47"/>
      <c r="Q9" s="47"/>
      <c r="R9" s="47"/>
      <c r="S9" s="47"/>
      <c r="T9" s="47"/>
      <c r="U9" s="47"/>
      <c r="V9" s="47"/>
      <c r="W9" s="47"/>
    </row>
    <row r="10" spans="1:23" ht="11.25" customHeight="1" x14ac:dyDescent="0.3">
      <c r="A10" s="49" t="s">
        <v>84</v>
      </c>
      <c r="B10" s="49"/>
      <c r="C10" s="49"/>
      <c r="D10" s="49"/>
      <c r="E10" s="49"/>
      <c r="F10" s="49"/>
      <c r="G10" s="49"/>
      <c r="H10" s="49"/>
      <c r="I10" s="49"/>
      <c r="J10" s="49"/>
      <c r="K10" s="49"/>
      <c r="M10" s="46" t="s">
        <v>85</v>
      </c>
      <c r="N10" s="47"/>
      <c r="O10" s="47">
        <f>C18*1000/(C7*C11+C8*C12+C9*C13)</f>
        <v>0.48613488531324889</v>
      </c>
      <c r="P10" s="47"/>
      <c r="Q10" s="47"/>
      <c r="R10" s="47"/>
      <c r="S10" s="47"/>
      <c r="T10" s="47"/>
      <c r="U10" s="47"/>
      <c r="V10" s="47"/>
      <c r="W10" s="47"/>
    </row>
    <row r="11" spans="1:23" ht="10.8" customHeight="1" x14ac:dyDescent="0.3">
      <c r="A11" s="49" t="s">
        <v>78</v>
      </c>
      <c r="B11" s="49">
        <v>300</v>
      </c>
      <c r="C11" s="49">
        <v>200</v>
      </c>
      <c r="D11" s="49">
        <v>150</v>
      </c>
      <c r="E11" s="49">
        <v>180</v>
      </c>
      <c r="F11" s="49">
        <v>220</v>
      </c>
      <c r="G11" s="49">
        <v>350</v>
      </c>
      <c r="H11" s="49">
        <v>400</v>
      </c>
      <c r="I11" s="49">
        <v>370</v>
      </c>
      <c r="J11" s="49">
        <v>460</v>
      </c>
      <c r="K11" s="49">
        <v>520</v>
      </c>
      <c r="M11" s="46" t="s">
        <v>86</v>
      </c>
      <c r="N11" s="47"/>
      <c r="O11" s="47">
        <f>C18*1000/C20</f>
        <v>217.79141104294479</v>
      </c>
      <c r="P11" s="47"/>
      <c r="Q11" s="47"/>
      <c r="R11" s="47"/>
      <c r="S11" s="47"/>
      <c r="T11" s="47"/>
      <c r="U11" s="47"/>
      <c r="V11" s="47"/>
      <c r="W11" s="47"/>
    </row>
    <row r="12" spans="1:23" ht="12.45" customHeight="1" x14ac:dyDescent="0.3">
      <c r="A12" s="49" t="s">
        <v>80</v>
      </c>
      <c r="B12" s="49">
        <v>120</v>
      </c>
      <c r="C12" s="49">
        <v>110</v>
      </c>
      <c r="D12" s="49">
        <v>85</v>
      </c>
      <c r="E12" s="49">
        <v>140</v>
      </c>
      <c r="F12" s="49">
        <v>160</v>
      </c>
      <c r="G12" s="49">
        <v>170</v>
      </c>
      <c r="H12" s="49">
        <v>235</v>
      </c>
      <c r="I12" s="49">
        <v>270</v>
      </c>
      <c r="J12" s="49">
        <v>300</v>
      </c>
      <c r="K12" s="49">
        <v>190</v>
      </c>
      <c r="M12" s="46" t="s">
        <v>87</v>
      </c>
      <c r="N12" s="47"/>
      <c r="O12" s="47">
        <f>(C18-C19)*1000/C20</f>
        <v>197.85276073619633</v>
      </c>
      <c r="P12" s="47"/>
      <c r="Q12" s="47"/>
      <c r="R12" s="47"/>
      <c r="S12" s="47"/>
      <c r="T12" s="47"/>
      <c r="U12" s="47"/>
      <c r="V12" s="47"/>
      <c r="W12" s="47"/>
    </row>
    <row r="13" spans="1:23" ht="11.85" customHeight="1" x14ac:dyDescent="0.3">
      <c r="A13" s="49" t="s">
        <v>82</v>
      </c>
      <c r="B13" s="49">
        <v>270</v>
      </c>
      <c r="C13" s="49">
        <v>460</v>
      </c>
      <c r="D13" s="49">
        <v>100</v>
      </c>
      <c r="E13" s="49">
        <v>360</v>
      </c>
      <c r="F13" s="49">
        <v>450</v>
      </c>
      <c r="G13" s="49">
        <v>200</v>
      </c>
      <c r="H13" s="49">
        <v>90</v>
      </c>
      <c r="I13" s="49">
        <v>140</v>
      </c>
      <c r="J13" s="49">
        <v>230</v>
      </c>
      <c r="K13" s="49">
        <v>200</v>
      </c>
      <c r="M13" s="46" t="s">
        <v>88</v>
      </c>
      <c r="N13" s="47"/>
      <c r="O13" s="47">
        <f>((C11-C15)*C7+(C12-C16)*C8+(C13-C17)*C9)/(C18*1000)*100</f>
        <v>44.366197183098592</v>
      </c>
      <c r="P13" s="47"/>
      <c r="Q13" s="47"/>
      <c r="R13" s="47"/>
      <c r="S13" s="47"/>
      <c r="T13" s="47"/>
      <c r="U13" s="47"/>
      <c r="V13" s="47"/>
      <c r="W13" s="47"/>
    </row>
    <row r="14" spans="1:23" ht="10.199999999999999" customHeight="1" x14ac:dyDescent="0.3">
      <c r="A14" s="49" t="s">
        <v>89</v>
      </c>
      <c r="B14" s="49"/>
      <c r="C14" s="49"/>
      <c r="D14" s="49"/>
      <c r="E14" s="49"/>
      <c r="F14" s="49"/>
      <c r="G14" s="49"/>
      <c r="H14" s="49"/>
      <c r="I14" s="49"/>
      <c r="J14" s="49"/>
      <c r="K14" s="49"/>
      <c r="M14" s="50" t="s">
        <v>90</v>
      </c>
      <c r="N14" s="47"/>
      <c r="O14" s="47"/>
      <c r="P14" s="47"/>
      <c r="Q14" s="47"/>
      <c r="R14" s="47"/>
      <c r="S14" s="47"/>
      <c r="T14" s="47"/>
      <c r="U14" s="47"/>
      <c r="V14" s="47"/>
      <c r="W14" s="47"/>
    </row>
    <row r="15" spans="1:23" ht="13.05" customHeight="1" x14ac:dyDescent="0.3">
      <c r="A15" s="49" t="s">
        <v>78</v>
      </c>
      <c r="B15" s="49">
        <v>200</v>
      </c>
      <c r="C15" s="49">
        <v>110</v>
      </c>
      <c r="D15" s="49">
        <v>100</v>
      </c>
      <c r="E15" s="49">
        <v>100</v>
      </c>
      <c r="F15" s="49">
        <v>150</v>
      </c>
      <c r="G15" s="49">
        <v>280</v>
      </c>
      <c r="H15" s="49">
        <v>300</v>
      </c>
      <c r="I15" s="49">
        <v>190</v>
      </c>
      <c r="J15" s="49">
        <v>320</v>
      </c>
      <c r="K15" s="49">
        <v>450</v>
      </c>
      <c r="M15" s="46" t="s">
        <v>83</v>
      </c>
      <c r="N15" s="47"/>
      <c r="O15" s="47">
        <f>(C23*C27+C24*C28+C25*C29)/(((C18*105)/100)*1000)</f>
        <v>2.0160965794768613</v>
      </c>
      <c r="P15" s="47"/>
      <c r="Q15" s="47"/>
      <c r="R15" s="47"/>
      <c r="S15" s="47"/>
      <c r="T15" s="47"/>
      <c r="U15" s="47"/>
      <c r="V15" s="47"/>
      <c r="W15" s="47"/>
    </row>
    <row r="16" spans="1:23" ht="11.85" customHeight="1" x14ac:dyDescent="0.3">
      <c r="A16" s="49" t="s">
        <v>80</v>
      </c>
      <c r="B16" s="49">
        <v>80</v>
      </c>
      <c r="C16" s="49">
        <v>60</v>
      </c>
      <c r="D16" s="49">
        <v>50</v>
      </c>
      <c r="E16" s="49">
        <v>95</v>
      </c>
      <c r="F16" s="49">
        <v>120</v>
      </c>
      <c r="G16" s="49">
        <v>110</v>
      </c>
      <c r="H16" s="49">
        <v>170</v>
      </c>
      <c r="I16" s="49">
        <v>210</v>
      </c>
      <c r="J16" s="49">
        <v>205</v>
      </c>
      <c r="K16" s="49">
        <v>140</v>
      </c>
      <c r="M16" s="46" t="s">
        <v>85</v>
      </c>
      <c r="N16" s="47"/>
      <c r="O16" s="47">
        <f>(((C18*(100+C34))/100)*1000)/(C23*C27+C24*C28+C25*C29)</f>
        <v>0.51962741184298067</v>
      </c>
      <c r="P16" s="47"/>
      <c r="Q16" s="47"/>
      <c r="R16" s="47"/>
      <c r="S16" s="47"/>
      <c r="T16" s="47"/>
      <c r="U16" s="47"/>
      <c r="V16" s="47"/>
      <c r="W16" s="47"/>
    </row>
    <row r="17" spans="1:23" ht="13.05" customHeight="1" x14ac:dyDescent="0.3">
      <c r="A17" s="49" t="s">
        <v>82</v>
      </c>
      <c r="B17" s="49">
        <v>185</v>
      </c>
      <c r="C17" s="49">
        <v>390</v>
      </c>
      <c r="D17" s="49">
        <v>75</v>
      </c>
      <c r="E17" s="49">
        <v>300</v>
      </c>
      <c r="F17" s="49">
        <v>410</v>
      </c>
      <c r="G17" s="49">
        <v>160</v>
      </c>
      <c r="H17" s="49">
        <v>55</v>
      </c>
      <c r="I17" s="49">
        <v>100</v>
      </c>
      <c r="J17" s="49">
        <v>170</v>
      </c>
      <c r="K17" s="49">
        <v>165</v>
      </c>
      <c r="M17" s="46" t="s">
        <v>86</v>
      </c>
      <c r="N17" s="47"/>
      <c r="O17" s="47">
        <f>(((C18*(100+C34))/100)*1000)/((C20*(100-6.5))/100)</f>
        <v>256.22518946228797</v>
      </c>
      <c r="P17" s="47"/>
      <c r="Q17" s="47"/>
      <c r="R17" s="47"/>
      <c r="S17" s="47"/>
      <c r="T17" s="47"/>
      <c r="U17" s="47"/>
      <c r="V17" s="47"/>
      <c r="W17" s="47"/>
    </row>
    <row r="18" spans="1:23" ht="11.85" customHeight="1" x14ac:dyDescent="0.3">
      <c r="A18" s="49" t="s">
        <v>91</v>
      </c>
      <c r="B18" s="49">
        <v>1550</v>
      </c>
      <c r="C18" s="49">
        <v>1420</v>
      </c>
      <c r="D18" s="49">
        <v>1630</v>
      </c>
      <c r="E18" s="49">
        <v>1510</v>
      </c>
      <c r="F18" s="49">
        <v>1620</v>
      </c>
      <c r="G18" s="49">
        <v>1480</v>
      </c>
      <c r="H18" s="49">
        <v>1390</v>
      </c>
      <c r="I18" s="49">
        <v>1460</v>
      </c>
      <c r="J18" s="49">
        <v>1600</v>
      </c>
      <c r="K18" s="49">
        <v>1570</v>
      </c>
      <c r="M18" s="46" t="s">
        <v>87</v>
      </c>
      <c r="N18" s="47"/>
      <c r="O18" s="47">
        <f>((((C18*(100+C34))/100)*1000)-(((C19*(100+C35))/100)*1000))/((C20*(100-6.5))/100)</f>
        <v>234.58055838063058</v>
      </c>
      <c r="P18" s="47"/>
      <c r="Q18" s="47"/>
      <c r="R18" s="47"/>
      <c r="S18" s="47"/>
      <c r="T18" s="47"/>
      <c r="U18" s="47"/>
      <c r="V18" s="47"/>
      <c r="W18" s="47"/>
    </row>
    <row r="19" spans="1:23" ht="11.85" customHeight="1" x14ac:dyDescent="0.3">
      <c r="A19" s="49" t="s">
        <v>92</v>
      </c>
      <c r="B19" s="49">
        <v>120</v>
      </c>
      <c r="C19" s="49">
        <v>130</v>
      </c>
      <c r="D19" s="49">
        <v>140</v>
      </c>
      <c r="E19" s="49">
        <v>100</v>
      </c>
      <c r="F19" s="49">
        <v>130</v>
      </c>
      <c r="G19" s="49">
        <v>120</v>
      </c>
      <c r="H19" s="49">
        <v>140</v>
      </c>
      <c r="I19" s="49">
        <v>90</v>
      </c>
      <c r="J19" s="49">
        <v>120</v>
      </c>
      <c r="K19" s="49">
        <v>130</v>
      </c>
      <c r="M19" s="46" t="s">
        <v>88</v>
      </c>
      <c r="N19" s="47"/>
      <c r="O19" s="47">
        <f>((C27-C31)*C23+(C28-C32)*C24+(C29-C33)*C25)/(((C18*(100+C34))/100)*1000)*100</f>
        <v>53.137003841229188</v>
      </c>
      <c r="P19" s="47"/>
      <c r="Q19" s="47"/>
      <c r="R19" s="47"/>
      <c r="S19" s="47"/>
      <c r="T19" s="47"/>
      <c r="U19" s="47"/>
      <c r="V19" s="47"/>
      <c r="W19" s="47"/>
    </row>
    <row r="20" spans="1:23" ht="11.25" customHeight="1" x14ac:dyDescent="0.3">
      <c r="A20" s="49" t="s">
        <v>93</v>
      </c>
      <c r="B20" s="49">
        <v>4430</v>
      </c>
      <c r="C20" s="49">
        <v>6520</v>
      </c>
      <c r="D20" s="49">
        <v>7500</v>
      </c>
      <c r="E20" s="49">
        <v>2130</v>
      </c>
      <c r="F20" s="49">
        <v>5555</v>
      </c>
      <c r="G20" s="49">
        <v>6520</v>
      </c>
      <c r="H20" s="49">
        <v>4800</v>
      </c>
      <c r="I20" s="49">
        <v>3640</v>
      </c>
      <c r="J20" s="49">
        <v>4750</v>
      </c>
      <c r="K20" s="49">
        <v>6900</v>
      </c>
      <c r="N20" s="51"/>
      <c r="O20" s="51"/>
      <c r="P20" s="51"/>
      <c r="Q20" s="51"/>
      <c r="R20" s="51"/>
      <c r="S20" s="51"/>
      <c r="T20" s="51"/>
      <c r="U20" s="51"/>
      <c r="V20" s="51"/>
      <c r="W20" s="51"/>
    </row>
    <row r="21" spans="1:23" ht="10.8" customHeight="1" x14ac:dyDescent="0.3">
      <c r="A21" s="48" t="s">
        <v>94</v>
      </c>
      <c r="B21" s="48"/>
      <c r="C21" s="48"/>
      <c r="D21" s="48"/>
      <c r="E21" s="48"/>
      <c r="F21" s="48"/>
      <c r="G21" s="48"/>
      <c r="H21" s="48"/>
      <c r="I21" s="48"/>
      <c r="J21" s="48"/>
      <c r="K21" s="48"/>
    </row>
    <row r="22" spans="1:23" ht="13.5" customHeight="1" x14ac:dyDescent="0.3">
      <c r="A22" s="49" t="s">
        <v>76</v>
      </c>
      <c r="B22" s="49"/>
      <c r="C22" s="49"/>
      <c r="D22" s="49"/>
      <c r="E22" s="49"/>
      <c r="F22" s="49"/>
      <c r="G22" s="49"/>
      <c r="H22" s="49"/>
      <c r="I22" s="49"/>
      <c r="J22" s="49"/>
      <c r="K22" s="49"/>
    </row>
    <row r="23" spans="1:23" ht="13.05" customHeight="1" x14ac:dyDescent="0.3">
      <c r="A23" s="49" t="s">
        <v>78</v>
      </c>
      <c r="B23" s="49">
        <v>2020</v>
      </c>
      <c r="C23" s="49">
        <v>2600</v>
      </c>
      <c r="D23" s="49">
        <v>3100</v>
      </c>
      <c r="E23" s="49">
        <v>3600</v>
      </c>
      <c r="F23" s="49">
        <v>4200</v>
      </c>
      <c r="G23" s="49">
        <v>4000</v>
      </c>
      <c r="H23" s="49">
        <v>5500</v>
      </c>
      <c r="I23" s="49">
        <v>5500</v>
      </c>
      <c r="J23" s="49">
        <v>7800</v>
      </c>
      <c r="K23" s="49">
        <v>8100</v>
      </c>
    </row>
    <row r="24" spans="1:23" ht="9.75" customHeight="1" x14ac:dyDescent="0.3">
      <c r="A24" s="49" t="s">
        <v>80</v>
      </c>
      <c r="B24" s="49">
        <v>1050</v>
      </c>
      <c r="C24" s="49">
        <v>1200</v>
      </c>
      <c r="D24" s="49">
        <v>1300</v>
      </c>
      <c r="E24" s="49">
        <v>1650</v>
      </c>
      <c r="F24" s="49">
        <v>2600</v>
      </c>
      <c r="G24" s="49">
        <v>3100</v>
      </c>
      <c r="H24" s="49">
        <v>3500</v>
      </c>
      <c r="I24" s="49">
        <v>4150</v>
      </c>
      <c r="J24" s="49">
        <v>4900</v>
      </c>
      <c r="K24" s="49">
        <v>5500</v>
      </c>
    </row>
    <row r="25" spans="1:23" ht="10.8" customHeight="1" x14ac:dyDescent="0.3">
      <c r="A25" s="49" t="s">
        <v>82</v>
      </c>
      <c r="B25" s="49">
        <v>6500</v>
      </c>
      <c r="C25" s="49">
        <v>5200</v>
      </c>
      <c r="D25" s="49">
        <v>5000</v>
      </c>
      <c r="E25" s="49">
        <v>4700</v>
      </c>
      <c r="F25" s="49">
        <v>4300</v>
      </c>
      <c r="G25" s="49">
        <v>5200</v>
      </c>
      <c r="H25" s="49">
        <v>5100</v>
      </c>
      <c r="I25" s="49">
        <v>3700</v>
      </c>
      <c r="J25" s="49">
        <v>4000</v>
      </c>
      <c r="K25" s="49">
        <v>4300</v>
      </c>
    </row>
    <row r="26" spans="1:23" ht="10.8" customHeight="1" x14ac:dyDescent="0.3">
      <c r="A26" s="49" t="s">
        <v>84</v>
      </c>
      <c r="B26" s="49"/>
      <c r="C26" s="49"/>
      <c r="D26" s="49"/>
      <c r="E26" s="49"/>
      <c r="F26" s="49"/>
      <c r="G26" s="49"/>
      <c r="H26" s="49"/>
      <c r="I26" s="49"/>
      <c r="J26" s="49"/>
      <c r="K26" s="49"/>
    </row>
    <row r="27" spans="1:23" ht="10.8" customHeight="1" x14ac:dyDescent="0.3">
      <c r="A27" s="49" t="s">
        <v>78</v>
      </c>
      <c r="B27" s="49">
        <v>300</v>
      </c>
      <c r="C27" s="49">
        <v>210</v>
      </c>
      <c r="D27" s="49">
        <v>160</v>
      </c>
      <c r="E27" s="49">
        <v>185</v>
      </c>
      <c r="F27" s="49">
        <v>230</v>
      </c>
      <c r="G27" s="49">
        <v>360</v>
      </c>
      <c r="H27" s="49">
        <v>390</v>
      </c>
      <c r="I27" s="49">
        <v>360</v>
      </c>
      <c r="J27" s="49">
        <v>450</v>
      </c>
      <c r="K27" s="49">
        <v>500</v>
      </c>
    </row>
    <row r="28" spans="1:23" ht="10.8" customHeight="1" x14ac:dyDescent="0.3">
      <c r="A28" s="49" t="s">
        <v>80</v>
      </c>
      <c r="B28" s="49">
        <v>110</v>
      </c>
      <c r="C28" s="49">
        <v>100</v>
      </c>
      <c r="D28" s="49">
        <v>100</v>
      </c>
      <c r="E28" s="49">
        <v>150</v>
      </c>
      <c r="F28" s="49">
        <v>170</v>
      </c>
      <c r="G28" s="49">
        <v>160</v>
      </c>
      <c r="H28" s="49">
        <v>230</v>
      </c>
      <c r="I28" s="49">
        <v>260</v>
      </c>
      <c r="J28" s="49">
        <v>310</v>
      </c>
      <c r="K28" s="49">
        <v>200</v>
      </c>
    </row>
    <row r="29" spans="1:23" ht="10.8" customHeight="1" x14ac:dyDescent="0.3">
      <c r="A29" s="49" t="s">
        <v>82</v>
      </c>
      <c r="B29" s="49">
        <v>260</v>
      </c>
      <c r="C29" s="49">
        <v>450</v>
      </c>
      <c r="D29" s="49">
        <v>90</v>
      </c>
      <c r="E29" s="49">
        <v>350</v>
      </c>
      <c r="F29" s="49">
        <v>440</v>
      </c>
      <c r="G29" s="49">
        <v>190</v>
      </c>
      <c r="H29" s="49">
        <v>100</v>
      </c>
      <c r="I29" s="49">
        <v>130</v>
      </c>
      <c r="J29" s="49">
        <v>220</v>
      </c>
      <c r="K29" s="49">
        <v>190</v>
      </c>
    </row>
    <row r="30" spans="1:23" ht="12.45" customHeight="1" x14ac:dyDescent="0.3">
      <c r="A30" s="49" t="s">
        <v>89</v>
      </c>
      <c r="B30" s="49"/>
      <c r="C30" s="49"/>
      <c r="D30" s="49"/>
      <c r="E30" s="49"/>
      <c r="F30" s="49"/>
      <c r="G30" s="49"/>
      <c r="H30" s="49"/>
      <c r="I30" s="49"/>
      <c r="J30" s="49"/>
      <c r="K30" s="49"/>
    </row>
    <row r="31" spans="1:23" ht="10.8" customHeight="1" x14ac:dyDescent="0.3">
      <c r="A31" s="49" t="s">
        <v>78</v>
      </c>
      <c r="B31" s="49">
        <v>190</v>
      </c>
      <c r="C31" s="49">
        <v>100</v>
      </c>
      <c r="D31" s="49">
        <v>150</v>
      </c>
      <c r="E31" s="49">
        <v>140</v>
      </c>
      <c r="F31" s="49">
        <v>200</v>
      </c>
      <c r="G31" s="49">
        <v>300</v>
      </c>
      <c r="H31" s="49">
        <v>300</v>
      </c>
      <c r="I31" s="49">
        <v>280</v>
      </c>
      <c r="J31" s="49">
        <v>380</v>
      </c>
      <c r="K31" s="49">
        <v>400</v>
      </c>
    </row>
    <row r="32" spans="1:23" ht="10.8" customHeight="1" x14ac:dyDescent="0.3">
      <c r="A32" s="49" t="s">
        <v>80</v>
      </c>
      <c r="B32" s="49">
        <v>90</v>
      </c>
      <c r="C32" s="49">
        <v>80</v>
      </c>
      <c r="D32" s="49">
        <v>75</v>
      </c>
      <c r="E32" s="49">
        <v>100</v>
      </c>
      <c r="F32" s="49">
        <v>100</v>
      </c>
      <c r="G32" s="49">
        <v>120</v>
      </c>
      <c r="H32" s="49">
        <v>150</v>
      </c>
      <c r="I32" s="49">
        <v>205</v>
      </c>
      <c r="J32" s="49">
        <v>270</v>
      </c>
      <c r="K32" s="49">
        <v>140</v>
      </c>
    </row>
    <row r="33" spans="1:12" ht="11.25" customHeight="1" x14ac:dyDescent="0.3">
      <c r="A33" s="49" t="s">
        <v>82</v>
      </c>
      <c r="B33" s="49">
        <v>200</v>
      </c>
      <c r="C33" s="49">
        <v>350</v>
      </c>
      <c r="D33" s="49">
        <v>50</v>
      </c>
      <c r="E33" s="49">
        <v>290</v>
      </c>
      <c r="F33" s="49">
        <v>360</v>
      </c>
      <c r="G33" s="49">
        <v>145</v>
      </c>
      <c r="H33" s="49">
        <v>70</v>
      </c>
      <c r="I33" s="49">
        <v>90</v>
      </c>
      <c r="J33" s="49">
        <v>160</v>
      </c>
      <c r="K33" s="49">
        <v>155</v>
      </c>
    </row>
    <row r="34" spans="1:12" ht="11.25" customHeight="1" x14ac:dyDescent="0.3">
      <c r="A34" s="49" t="s">
        <v>95</v>
      </c>
      <c r="B34" s="49">
        <v>5</v>
      </c>
      <c r="C34" s="49">
        <v>10</v>
      </c>
      <c r="D34" s="49">
        <v>3.5</v>
      </c>
      <c r="E34" s="49">
        <v>4.5</v>
      </c>
      <c r="F34" s="49">
        <v>6</v>
      </c>
      <c r="G34" s="49">
        <v>5</v>
      </c>
      <c r="H34" s="49">
        <v>5.5</v>
      </c>
      <c r="I34" s="49">
        <v>4</v>
      </c>
      <c r="J34" s="49">
        <v>3.5</v>
      </c>
      <c r="K34" s="49">
        <v>4.5</v>
      </c>
      <c r="L34" s="52"/>
    </row>
    <row r="35" spans="1:12" ht="11.25" customHeight="1" x14ac:dyDescent="0.3">
      <c r="A35" s="49" t="s">
        <v>96</v>
      </c>
      <c r="B35" s="49">
        <v>1</v>
      </c>
      <c r="C35" s="49">
        <v>1.5</v>
      </c>
      <c r="D35" s="49">
        <v>2</v>
      </c>
      <c r="E35" s="49">
        <v>2.5</v>
      </c>
      <c r="F35" s="49">
        <v>3.5</v>
      </c>
      <c r="G35" s="49">
        <v>1</v>
      </c>
      <c r="H35" s="49">
        <v>1.5</v>
      </c>
      <c r="I35" s="49">
        <v>2</v>
      </c>
      <c r="J35" s="49">
        <v>2.5</v>
      </c>
      <c r="K35" s="49">
        <v>3</v>
      </c>
    </row>
    <row r="36" spans="1:12" ht="11.25" customHeight="1" x14ac:dyDescent="0.3">
      <c r="A36" s="49" t="s">
        <v>97</v>
      </c>
      <c r="B36" s="49">
        <v>6.5</v>
      </c>
      <c r="C36" s="49">
        <v>7</v>
      </c>
      <c r="D36" s="49">
        <v>8.5</v>
      </c>
      <c r="E36" s="49">
        <v>7</v>
      </c>
      <c r="F36" s="49">
        <v>5</v>
      </c>
      <c r="G36" s="49">
        <v>5.5</v>
      </c>
      <c r="H36" s="49">
        <v>6</v>
      </c>
      <c r="I36" s="49">
        <v>6.5</v>
      </c>
      <c r="J36" s="49">
        <v>7</v>
      </c>
      <c r="K36" s="49">
        <v>7.5</v>
      </c>
    </row>
  </sheetData>
  <mergeCells count="2">
    <mergeCell ref="A3:A4"/>
    <mergeCell ref="B3:K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A11"/>
  <sheetViews>
    <sheetView workbookViewId="0">
      <selection activeCell="G3" sqref="G3"/>
    </sheetView>
  </sheetViews>
  <sheetFormatPr defaultRowHeight="14.4" x14ac:dyDescent="0.3"/>
  <cols>
    <col min="1" max="1" width="86" customWidth="1"/>
  </cols>
  <sheetData>
    <row r="1" spans="1:1" ht="15.6" x14ac:dyDescent="0.3">
      <c r="A1" s="37" t="s">
        <v>0</v>
      </c>
    </row>
    <row r="2" spans="1:1" ht="81.75" customHeight="1" x14ac:dyDescent="0.3">
      <c r="A2" s="54" t="s">
        <v>102</v>
      </c>
    </row>
    <row r="3" spans="1:1" ht="31.2" x14ac:dyDescent="0.3">
      <c r="A3" s="2" t="s">
        <v>108</v>
      </c>
    </row>
    <row r="4" spans="1:1" ht="15.6" x14ac:dyDescent="0.3">
      <c r="A4" s="3" t="s">
        <v>103</v>
      </c>
    </row>
    <row r="5" spans="1:1" ht="20.399999999999999" x14ac:dyDescent="0.3">
      <c r="A5" s="3" t="s">
        <v>104</v>
      </c>
    </row>
    <row r="6" spans="1:1" ht="15.6" x14ac:dyDescent="0.3">
      <c r="A6" s="3" t="s">
        <v>105</v>
      </c>
    </row>
    <row r="7" spans="1:1" ht="15.6" x14ac:dyDescent="0.3">
      <c r="A7" s="3" t="s">
        <v>106</v>
      </c>
    </row>
    <row r="8" spans="1:1" ht="18" x14ac:dyDescent="0.3">
      <c r="A8" s="3" t="s">
        <v>107</v>
      </c>
    </row>
    <row r="9" spans="1:1" ht="31.2" x14ac:dyDescent="0.3">
      <c r="A9" s="55" t="s">
        <v>110</v>
      </c>
    </row>
    <row r="10" spans="1:1" ht="15.6" x14ac:dyDescent="0.3">
      <c r="A10" s="23" t="s">
        <v>109</v>
      </c>
    </row>
    <row r="11" spans="1:1" ht="15.6" x14ac:dyDescent="0.35">
      <c r="A11"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24"/>
  <sheetViews>
    <sheetView workbookViewId="0">
      <selection activeCell="M6" sqref="M6"/>
    </sheetView>
  </sheetViews>
  <sheetFormatPr defaultRowHeight="14.4" x14ac:dyDescent="0.3"/>
  <cols>
    <col min="1" max="1" width="44.6640625" customWidth="1"/>
    <col min="2" max="2" width="9.44140625" bestFit="1" customWidth="1"/>
  </cols>
  <sheetData>
    <row r="1" spans="1:11" ht="18" x14ac:dyDescent="0.35">
      <c r="A1" s="53" t="s">
        <v>114</v>
      </c>
    </row>
    <row r="2" spans="1:11" ht="15.6" x14ac:dyDescent="0.3">
      <c r="A2" s="25" t="s">
        <v>115</v>
      </c>
      <c r="B2" s="28"/>
      <c r="C2" s="28"/>
      <c r="D2" s="28"/>
      <c r="E2" s="28"/>
      <c r="F2" s="28"/>
      <c r="G2" s="28"/>
      <c r="H2" s="28"/>
      <c r="I2" s="28"/>
      <c r="J2" s="28"/>
      <c r="K2" s="28"/>
    </row>
    <row r="3" spans="1:11" x14ac:dyDescent="0.3">
      <c r="A3" s="80" t="s">
        <v>49</v>
      </c>
      <c r="B3" s="81" t="s">
        <v>50</v>
      </c>
      <c r="C3" s="81"/>
      <c r="D3" s="81"/>
      <c r="E3" s="81"/>
      <c r="F3" s="81"/>
      <c r="G3" s="81"/>
      <c r="H3" s="81"/>
      <c r="I3" s="81"/>
      <c r="J3" s="81"/>
      <c r="K3" s="81"/>
    </row>
    <row r="4" spans="1:11" x14ac:dyDescent="0.3">
      <c r="A4" s="80"/>
      <c r="B4" s="29">
        <v>1</v>
      </c>
      <c r="C4" s="29">
        <v>2</v>
      </c>
      <c r="D4" s="29">
        <v>3</v>
      </c>
      <c r="E4" s="29">
        <v>4</v>
      </c>
      <c r="F4" s="29">
        <v>5</v>
      </c>
      <c r="G4" s="29">
        <v>6</v>
      </c>
      <c r="H4" s="29">
        <v>7</v>
      </c>
      <c r="I4" s="29">
        <v>8</v>
      </c>
      <c r="J4" s="29">
        <v>9</v>
      </c>
      <c r="K4" s="29">
        <v>10</v>
      </c>
    </row>
    <row r="5" spans="1:11" x14ac:dyDescent="0.3">
      <c r="A5" s="11" t="s">
        <v>116</v>
      </c>
      <c r="B5" s="13">
        <v>100</v>
      </c>
      <c r="C5" s="13">
        <v>66</v>
      </c>
      <c r="D5" s="13">
        <v>1020</v>
      </c>
      <c r="E5" s="13">
        <v>470</v>
      </c>
      <c r="F5" s="13">
        <v>215</v>
      </c>
      <c r="G5" s="13">
        <v>800</v>
      </c>
      <c r="H5" s="13">
        <v>170</v>
      </c>
      <c r="I5" s="13">
        <v>1200</v>
      </c>
      <c r="J5" s="13">
        <v>530</v>
      </c>
      <c r="K5" s="13">
        <v>385</v>
      </c>
    </row>
    <row r="6" spans="1:11" x14ac:dyDescent="0.3">
      <c r="A6" s="11" t="s">
        <v>117</v>
      </c>
      <c r="B6" s="13">
        <v>85</v>
      </c>
      <c r="C6" s="13">
        <v>40</v>
      </c>
      <c r="D6" s="13">
        <v>55</v>
      </c>
      <c r="E6" s="13">
        <v>96</v>
      </c>
      <c r="F6" s="13">
        <v>32</v>
      </c>
      <c r="G6" s="13">
        <v>110</v>
      </c>
      <c r="H6" s="13">
        <v>30</v>
      </c>
      <c r="I6" s="13">
        <v>47</v>
      </c>
      <c r="J6" s="13">
        <v>65</v>
      </c>
      <c r="K6" s="13">
        <v>26</v>
      </c>
    </row>
    <row r="7" spans="1:11" x14ac:dyDescent="0.3">
      <c r="A7" s="11" t="s">
        <v>118</v>
      </c>
      <c r="B7" s="13">
        <v>560</v>
      </c>
      <c r="C7" s="13">
        <v>123</v>
      </c>
      <c r="D7" s="13">
        <v>49</v>
      </c>
      <c r="E7" s="13">
        <v>90</v>
      </c>
      <c r="F7" s="13">
        <v>25</v>
      </c>
      <c r="G7" s="13">
        <v>104</v>
      </c>
      <c r="H7" s="13">
        <v>22</v>
      </c>
      <c r="I7" s="13">
        <v>33</v>
      </c>
      <c r="J7" s="13">
        <v>58</v>
      </c>
      <c r="K7" s="13">
        <v>20</v>
      </c>
    </row>
    <row r="8" spans="1:11" x14ac:dyDescent="0.3">
      <c r="A8" s="11" t="s">
        <v>119</v>
      </c>
      <c r="B8" s="13">
        <v>360</v>
      </c>
      <c r="C8" s="13">
        <v>180</v>
      </c>
      <c r="D8" s="13">
        <v>90</v>
      </c>
      <c r="E8" s="13">
        <v>360</v>
      </c>
      <c r="F8" s="13">
        <v>180</v>
      </c>
      <c r="G8" s="13">
        <v>90</v>
      </c>
      <c r="H8" s="13">
        <v>30</v>
      </c>
      <c r="I8" s="13">
        <v>360</v>
      </c>
      <c r="J8" s="13">
        <v>180</v>
      </c>
      <c r="K8" s="13">
        <v>90</v>
      </c>
    </row>
    <row r="9" spans="1:11" x14ac:dyDescent="0.3">
      <c r="A9" s="32" t="s">
        <v>120</v>
      </c>
      <c r="B9" s="36"/>
      <c r="C9" s="36">
        <f>C8/C5*C7</f>
        <v>335.45454545454544</v>
      </c>
      <c r="D9" s="36"/>
      <c r="E9" s="36"/>
      <c r="F9" s="36"/>
      <c r="G9" s="36"/>
      <c r="H9" s="36"/>
      <c r="I9" s="36"/>
      <c r="J9" s="36"/>
      <c r="K9" s="36"/>
    </row>
    <row r="10" spans="1:11" x14ac:dyDescent="0.3">
      <c r="A10" s="32" t="s">
        <v>121</v>
      </c>
      <c r="B10" s="36"/>
      <c r="C10" s="36">
        <f>C8/C6*C7</f>
        <v>553.5</v>
      </c>
      <c r="D10" s="36"/>
      <c r="E10" s="36"/>
      <c r="F10" s="36"/>
      <c r="G10" s="36"/>
      <c r="H10" s="36"/>
      <c r="I10" s="36"/>
      <c r="J10" s="36"/>
      <c r="K10" s="36"/>
    </row>
    <row r="11" spans="1:11" x14ac:dyDescent="0.3">
      <c r="A11" s="35" t="s">
        <v>122</v>
      </c>
      <c r="B11" s="36"/>
      <c r="C11" s="36">
        <f>C10-C9</f>
        <v>218.04545454545456</v>
      </c>
      <c r="D11" s="36"/>
      <c r="E11" s="36"/>
      <c r="F11" s="36"/>
      <c r="G11" s="36"/>
      <c r="H11" s="36"/>
      <c r="I11" s="36"/>
      <c r="J11" s="36"/>
      <c r="K11" s="36"/>
    </row>
    <row r="13" spans="1:11" ht="15.6" x14ac:dyDescent="0.3">
      <c r="A13" s="25" t="s">
        <v>123</v>
      </c>
      <c r="B13" s="28"/>
      <c r="C13" s="28"/>
      <c r="D13" s="28"/>
      <c r="E13" s="28"/>
      <c r="F13" s="28"/>
      <c r="G13" s="28"/>
      <c r="H13" s="28"/>
      <c r="I13" s="28"/>
      <c r="J13" s="28"/>
      <c r="K13" s="28"/>
    </row>
    <row r="14" spans="1:11" x14ac:dyDescent="0.3">
      <c r="A14" s="80" t="s">
        <v>49</v>
      </c>
      <c r="B14" s="81" t="s">
        <v>50</v>
      </c>
      <c r="C14" s="81"/>
      <c r="D14" s="81"/>
      <c r="E14" s="81"/>
      <c r="F14" s="81"/>
      <c r="G14" s="81"/>
      <c r="H14" s="81"/>
      <c r="I14" s="81"/>
      <c r="J14" s="81"/>
      <c r="K14" s="81"/>
    </row>
    <row r="15" spans="1:11" x14ac:dyDescent="0.3">
      <c r="A15" s="80"/>
      <c r="B15" s="29">
        <v>1</v>
      </c>
      <c r="C15" s="29">
        <v>2</v>
      </c>
      <c r="D15" s="29">
        <v>3</v>
      </c>
      <c r="E15" s="29">
        <v>4</v>
      </c>
      <c r="F15" s="29">
        <v>5</v>
      </c>
      <c r="G15" s="29">
        <v>6</v>
      </c>
      <c r="H15" s="29">
        <v>7</v>
      </c>
      <c r="I15" s="29">
        <v>8</v>
      </c>
      <c r="J15" s="29">
        <v>9</v>
      </c>
      <c r="K15" s="29">
        <v>10</v>
      </c>
    </row>
    <row r="16" spans="1:11" x14ac:dyDescent="0.3">
      <c r="A16" s="11" t="s">
        <v>124</v>
      </c>
      <c r="B16" s="13">
        <v>8700</v>
      </c>
      <c r="C16" s="13">
        <v>670</v>
      </c>
      <c r="D16" s="13">
        <v>1450</v>
      </c>
      <c r="E16" s="13">
        <v>1270</v>
      </c>
      <c r="F16" s="13">
        <v>900</v>
      </c>
      <c r="G16" s="13">
        <v>1035</v>
      </c>
      <c r="H16" s="13">
        <v>5100</v>
      </c>
      <c r="I16" s="13">
        <v>6500</v>
      </c>
      <c r="J16" s="13">
        <v>3210</v>
      </c>
      <c r="K16" s="13">
        <v>5355</v>
      </c>
    </row>
    <row r="17" spans="1:11" x14ac:dyDescent="0.3">
      <c r="A17" s="11" t="s">
        <v>125</v>
      </c>
      <c r="B17" s="13">
        <v>850</v>
      </c>
      <c r="C17" s="13">
        <v>195</v>
      </c>
      <c r="D17" s="13">
        <v>290</v>
      </c>
      <c r="E17" s="13">
        <v>195</v>
      </c>
      <c r="F17" s="13">
        <v>107</v>
      </c>
      <c r="G17" s="13">
        <v>104</v>
      </c>
      <c r="H17" s="13">
        <v>660</v>
      </c>
      <c r="I17" s="13">
        <v>1190</v>
      </c>
      <c r="J17" s="13">
        <v>420</v>
      </c>
      <c r="K17" s="13">
        <v>850</v>
      </c>
    </row>
    <row r="18" spans="1:11" x14ac:dyDescent="0.3">
      <c r="A18" s="11" t="s">
        <v>119</v>
      </c>
      <c r="B18" s="13">
        <v>360</v>
      </c>
      <c r="C18" s="13">
        <v>360</v>
      </c>
      <c r="D18" s="13">
        <v>180</v>
      </c>
      <c r="E18" s="13">
        <v>180</v>
      </c>
      <c r="F18" s="13">
        <v>360</v>
      </c>
      <c r="G18" s="13">
        <v>180</v>
      </c>
      <c r="H18" s="13">
        <v>360</v>
      </c>
      <c r="I18" s="13">
        <v>180</v>
      </c>
      <c r="J18" s="13">
        <v>360</v>
      </c>
      <c r="K18" s="13">
        <v>180</v>
      </c>
    </row>
    <row r="19" spans="1:11" x14ac:dyDescent="0.3">
      <c r="A19" s="32" t="s">
        <v>126</v>
      </c>
      <c r="B19" s="36"/>
      <c r="C19" s="36">
        <f>C16/C17</f>
        <v>3.4358974358974357</v>
      </c>
      <c r="D19" s="36"/>
      <c r="E19" s="36"/>
      <c r="F19" s="36"/>
      <c r="G19" s="36"/>
      <c r="H19" s="36"/>
      <c r="I19" s="36"/>
      <c r="J19" s="36"/>
      <c r="K19" s="36"/>
    </row>
    <row r="20" spans="1:11" x14ac:dyDescent="0.3">
      <c r="A20" s="61" t="s">
        <v>127</v>
      </c>
      <c r="B20" s="57">
        <v>12</v>
      </c>
      <c r="C20" s="57">
        <v>5</v>
      </c>
      <c r="D20" s="57">
        <v>8</v>
      </c>
      <c r="E20" s="57">
        <v>9</v>
      </c>
      <c r="F20" s="57">
        <v>12</v>
      </c>
      <c r="G20" s="57">
        <v>13</v>
      </c>
      <c r="H20" s="57">
        <v>10.5</v>
      </c>
      <c r="I20" s="57">
        <v>8.5</v>
      </c>
      <c r="J20" s="57">
        <v>9</v>
      </c>
      <c r="K20" s="57">
        <v>10.5</v>
      </c>
    </row>
    <row r="21" spans="1:11" x14ac:dyDescent="0.3">
      <c r="A21" s="32" t="s">
        <v>140</v>
      </c>
      <c r="B21" s="36"/>
      <c r="C21" s="36">
        <f>C18/C19</f>
        <v>104.77611940298507</v>
      </c>
      <c r="D21" s="36"/>
      <c r="E21" s="36"/>
      <c r="F21" s="36"/>
      <c r="G21" s="36"/>
      <c r="H21" s="36"/>
      <c r="I21" s="36"/>
      <c r="J21" s="36"/>
      <c r="K21" s="36"/>
    </row>
    <row r="22" spans="1:11" x14ac:dyDescent="0.3">
      <c r="A22" s="32" t="s">
        <v>141</v>
      </c>
      <c r="B22" s="36"/>
      <c r="C22" s="36">
        <f>C18/C20</f>
        <v>72</v>
      </c>
      <c r="D22" s="36"/>
      <c r="E22" s="36"/>
      <c r="F22" s="36"/>
      <c r="G22" s="36"/>
      <c r="H22" s="36"/>
      <c r="I22" s="36"/>
      <c r="J22" s="36"/>
      <c r="K22" s="36"/>
    </row>
    <row r="23" spans="1:11" x14ac:dyDescent="0.3">
      <c r="A23" s="35" t="s">
        <v>128</v>
      </c>
      <c r="B23" s="36"/>
      <c r="C23" s="36">
        <f>C16/C20</f>
        <v>134</v>
      </c>
      <c r="D23" s="36"/>
      <c r="E23" s="36"/>
      <c r="F23" s="36"/>
      <c r="G23" s="36"/>
      <c r="H23" s="36"/>
      <c r="I23" s="36"/>
      <c r="J23" s="36"/>
      <c r="K23" s="36"/>
    </row>
    <row r="24" spans="1:11" x14ac:dyDescent="0.3">
      <c r="A24" s="35" t="s">
        <v>129</v>
      </c>
      <c r="B24" s="36"/>
      <c r="C24" s="36">
        <f>C23-C17</f>
        <v>-61</v>
      </c>
      <c r="D24" s="36"/>
      <c r="E24" s="36"/>
      <c r="F24" s="36"/>
      <c r="G24" s="36"/>
      <c r="H24" s="36"/>
      <c r="I24" s="36"/>
      <c r="J24" s="36"/>
      <c r="K24" s="36"/>
    </row>
  </sheetData>
  <mergeCells count="4">
    <mergeCell ref="A3:A4"/>
    <mergeCell ref="B3:K3"/>
    <mergeCell ref="A14:A15"/>
    <mergeCell ref="B14:K1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C14"/>
  <sheetViews>
    <sheetView workbookViewId="0">
      <selection activeCell="A15" sqref="A15"/>
    </sheetView>
  </sheetViews>
  <sheetFormatPr defaultRowHeight="14.4" x14ac:dyDescent="0.3"/>
  <cols>
    <col min="1" max="1" width="105.5546875" customWidth="1"/>
    <col min="3" max="3" width="13.5546875" customWidth="1"/>
  </cols>
  <sheetData>
    <row r="1" spans="1:3" ht="15.6" x14ac:dyDescent="0.3">
      <c r="A1" s="37" t="s">
        <v>130</v>
      </c>
    </row>
    <row r="2" spans="1:3" ht="31.2" x14ac:dyDescent="0.3">
      <c r="A2" s="2" t="s">
        <v>131</v>
      </c>
    </row>
    <row r="3" spans="1:3" ht="18" x14ac:dyDescent="0.3">
      <c r="A3" s="58" t="s">
        <v>132</v>
      </c>
      <c r="B3" s="59"/>
      <c r="C3" s="59"/>
    </row>
    <row r="4" spans="1:3" ht="18" x14ac:dyDescent="0.3">
      <c r="A4" s="58" t="s">
        <v>133</v>
      </c>
      <c r="C4" s="59"/>
    </row>
    <row r="5" spans="1:3" ht="46.8" x14ac:dyDescent="0.3">
      <c r="A5" s="60" t="s">
        <v>134</v>
      </c>
      <c r="C5" s="59"/>
    </row>
    <row r="6" spans="1:3" ht="15.6" x14ac:dyDescent="0.3">
      <c r="A6" s="6" t="s">
        <v>135</v>
      </c>
    </row>
    <row r="8" spans="1:3" ht="15.6" x14ac:dyDescent="0.3">
      <c r="A8" s="37" t="s">
        <v>136</v>
      </c>
    </row>
    <row r="9" spans="1:3" ht="15.6" x14ac:dyDescent="0.3">
      <c r="A9" s="2" t="s">
        <v>137</v>
      </c>
    </row>
    <row r="10" spans="1:3" ht="18" x14ac:dyDescent="0.3">
      <c r="A10" s="58" t="s">
        <v>133</v>
      </c>
    </row>
    <row r="11" spans="1:3" ht="31.2" x14ac:dyDescent="0.3">
      <c r="A11" s="6" t="s">
        <v>138</v>
      </c>
    </row>
    <row r="12" spans="1:3" ht="18" x14ac:dyDescent="0.3">
      <c r="A12" s="58" t="s">
        <v>132</v>
      </c>
    </row>
    <row r="13" spans="1:3" ht="18" x14ac:dyDescent="0.3">
      <c r="A13" s="58" t="s">
        <v>133</v>
      </c>
    </row>
    <row r="14" spans="1:3" ht="15.6" x14ac:dyDescent="0.3">
      <c r="A14" s="5"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Vi U</cp:lastModifiedBy>
  <dcterms:created xsi:type="dcterms:W3CDTF">2024-02-21T09:04:52Z</dcterms:created>
  <dcterms:modified xsi:type="dcterms:W3CDTF">2026-02-27T19:06:46Z</dcterms:modified>
</cp:coreProperties>
</file>