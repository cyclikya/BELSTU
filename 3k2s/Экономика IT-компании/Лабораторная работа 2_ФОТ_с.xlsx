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General\BELSTU\3k2s\Экономика IT-компании\"/>
    </mc:Choice>
  </mc:AlternateContent>
  <bookViews>
    <workbookView xWindow="0" yWindow="0" windowWidth="23040" windowHeight="9072"/>
  </bookViews>
  <sheets>
    <sheet name="Задание исх данные, решение 1" sheetId="1" r:id="rId1"/>
    <sheet name="Порядок работы" sheetId="3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9" i="1" l="1"/>
  <c r="F60" i="1"/>
  <c r="B101" i="1"/>
  <c r="E60" i="1"/>
  <c r="G60" i="1" l="1"/>
  <c r="C60" i="1"/>
  <c r="E64" i="1" l="1"/>
  <c r="F64" i="1" s="1"/>
  <c r="C17" i="1"/>
  <c r="C18" i="1"/>
  <c r="C8" i="1"/>
  <c r="C14" i="1"/>
  <c r="E90" i="1" l="1"/>
  <c r="E89" i="1"/>
  <c r="E88" i="1"/>
  <c r="D79" i="1"/>
  <c r="B79" i="1"/>
  <c r="B78" i="1"/>
  <c r="B76" i="1"/>
  <c r="G69" i="1"/>
  <c r="G68" i="1"/>
  <c r="G65" i="1"/>
  <c r="G61" i="1"/>
  <c r="B88" i="1"/>
  <c r="B89" i="1"/>
  <c r="B90" i="1"/>
  <c r="B91" i="1"/>
  <c r="D60" i="1"/>
  <c r="C9" i="1"/>
  <c r="C61" i="1"/>
  <c r="D61" i="1"/>
  <c r="E61" i="1"/>
  <c r="E62" i="1"/>
  <c r="C64" i="1"/>
  <c r="C65" i="1"/>
  <c r="E65" i="1"/>
  <c r="E66" i="1"/>
  <c r="E71" i="1" s="1"/>
  <c r="B96" i="1" s="1"/>
  <c r="C68" i="1"/>
  <c r="D68" i="1"/>
  <c r="E68" i="1"/>
  <c r="C69" i="1"/>
  <c r="D69" i="1"/>
  <c r="E69" i="1"/>
  <c r="E70" i="1"/>
  <c r="C15" i="1"/>
  <c r="D81" i="1"/>
  <c r="C81" i="1"/>
  <c r="B81" i="1"/>
  <c r="F68" i="1"/>
  <c r="B52" i="1"/>
  <c r="D52" i="1"/>
  <c r="F69" i="1"/>
  <c r="C52" i="1"/>
  <c r="G70" i="1"/>
  <c r="D76" i="1"/>
  <c r="D77" i="1"/>
  <c r="G52" i="1"/>
  <c r="F61" i="1"/>
  <c r="E52" i="1"/>
  <c r="G62" i="1"/>
  <c r="B77" i="1"/>
  <c r="F52" i="1"/>
  <c r="G64" i="1"/>
  <c r="F65" i="1"/>
  <c r="F66" i="1" s="1"/>
  <c r="F71" i="1" s="1"/>
  <c r="H52" i="1"/>
  <c r="G66" i="1"/>
  <c r="G71" i="1" s="1"/>
  <c r="I52" i="1"/>
  <c r="D62" i="1"/>
  <c r="C62" i="1"/>
  <c r="B69" i="1"/>
  <c r="B68" i="1"/>
  <c r="B65" i="1"/>
  <c r="B64" i="1"/>
  <c r="B61" i="1"/>
  <c r="B60" i="1"/>
  <c r="C88" i="1"/>
  <c r="D88" i="1"/>
  <c r="C89" i="1"/>
  <c r="D89" i="1"/>
  <c r="C90" i="1"/>
  <c r="D90" i="1"/>
  <c r="D91" i="1"/>
  <c r="F88" i="1"/>
  <c r="G88" i="1"/>
  <c r="C70" i="1"/>
  <c r="C66" i="1"/>
  <c r="C71" i="1"/>
  <c r="D70" i="1"/>
  <c r="D66" i="1"/>
  <c r="D71" i="1" s="1"/>
  <c r="F90" i="1"/>
  <c r="G90" i="1"/>
  <c r="F89" i="1"/>
  <c r="G89" i="1"/>
  <c r="E91" i="1"/>
  <c r="F62" i="1"/>
  <c r="F91" i="1"/>
  <c r="G91" i="1"/>
  <c r="F70" i="1"/>
  <c r="D78" i="1"/>
  <c r="D80" i="1"/>
  <c r="D82" i="1"/>
  <c r="D83" i="1"/>
  <c r="B80" i="1"/>
  <c r="B82" i="1"/>
  <c r="B83" i="1"/>
  <c r="B100" i="1" l="1"/>
  <c r="C76" i="1"/>
  <c r="C77" i="1" l="1"/>
  <c r="C79" i="1"/>
  <c r="C78" i="1"/>
  <c r="C80" i="1" l="1"/>
  <c r="C82" i="1"/>
  <c r="C83" i="1" s="1"/>
  <c r="B95" i="1" s="1"/>
  <c r="B97" i="1" s="1"/>
  <c r="B98" i="1" s="1"/>
</calcChain>
</file>

<file path=xl/sharedStrings.xml><?xml version="1.0" encoding="utf-8"?>
<sst xmlns="http://schemas.openxmlformats.org/spreadsheetml/2006/main" count="132" uniqueCount="114">
  <si>
    <t>Показатель</t>
  </si>
  <si>
    <t>Значение</t>
  </si>
  <si>
    <t>1. Календарный фонд рабочего времени, дней</t>
  </si>
  <si>
    <t>2. Выходные и праздничные дни</t>
  </si>
  <si>
    <t xml:space="preserve">3. Номинальный фонд рабочего времени, дней (п.1-п.2) </t>
  </si>
  <si>
    <t>− основные, дополнительные и учебные отпуска</t>
  </si>
  <si>
    <t>− отпуск по беременности и родам</t>
  </si>
  <si>
    <t xml:space="preserve">− невыходы по болезни </t>
  </si>
  <si>
    <t>− выполнение государственных и общественных обязанностей</t>
  </si>
  <si>
    <t>8. Эффективный фонд рабочего времени, ч (п.6-п.7)</t>
  </si>
  <si>
    <t>Таблица 1. Баланс рабочего времени одного среднесписочного рабочего</t>
  </si>
  <si>
    <t>Разряд</t>
  </si>
  <si>
    <t>Тарифный коэффициент</t>
  </si>
  <si>
    <t>Наименование профессии рабочих</t>
  </si>
  <si>
    <t>Расчет численности рабочих</t>
  </si>
  <si>
    <t>Расчет тарифного фонда оплаты труда</t>
  </si>
  <si>
    <t>Тарифный разряд</t>
  </si>
  <si>
    <t>Списочное число, чел</t>
  </si>
  <si>
    <t>Тарифный фонд оплаты труда, руб.</t>
  </si>
  <si>
    <t>В смену</t>
  </si>
  <si>
    <t>В сутки</t>
  </si>
  <si>
    <t>1.Основные производственные рабочие:</t>
  </si>
  <si>
    <t>1.2 Упаковщик</t>
  </si>
  <si>
    <t>Итого:</t>
  </si>
  <si>
    <t>2.Вспомогательные рабочие:</t>
  </si>
  <si>
    <t>3. Прочие:</t>
  </si>
  <si>
    <t>Всего:</t>
  </si>
  <si>
    <t>Годовой фонд оплаты труда, руб.</t>
  </si>
  <si>
    <t>Вспомогательных рабочих</t>
  </si>
  <si>
    <t>Прочих</t>
  </si>
  <si>
    <t>Количество человек</t>
  </si>
  <si>
    <t>Итого</t>
  </si>
  <si>
    <t>Начальник подразделения</t>
  </si>
  <si>
    <t>Инженер по автоматизации</t>
  </si>
  <si>
    <t>Экономист</t>
  </si>
  <si>
    <r>
      <t>1.</t>
    </r>
    <r>
      <rPr>
        <sz val="11"/>
        <color theme="1"/>
        <rFont val="Calibri"/>
        <family val="2"/>
        <charset val="204"/>
        <scheme val="minor"/>
      </rPr>
      <t>1 Оператор</t>
    </r>
    <r>
      <rPr>
        <sz val="11"/>
        <color rgb="FF000000"/>
        <rFont val="Calibri"/>
        <family val="2"/>
        <charset val="204"/>
        <scheme val="minor"/>
      </rPr>
      <t xml:space="preserve"> </t>
    </r>
  </si>
  <si>
    <t>4. Планируемые невыходы на работу (итого), дней:</t>
  </si>
  <si>
    <t>6. Число рабочих часов в году (п.5×продолжительность рабочей смены 8 ч)</t>
  </si>
  <si>
    <t>Таблица 3. Часовая тарифная ставка в зависимости от тарифного коэффициента соответствующего разряда</t>
  </si>
  <si>
    <t>Таблица 4. Расчет численности и тарифного фонда оплаты труда рабочих</t>
  </si>
  <si>
    <t>Тарифная ставка в месяц 1 разряда, руб.</t>
  </si>
  <si>
    <t>Таблица 2. Исходные данные</t>
  </si>
  <si>
    <t>Число смен</t>
  </si>
  <si>
    <r>
      <t>2.1. Э</t>
    </r>
    <r>
      <rPr>
        <sz val="11"/>
        <color rgb="FF000000"/>
        <rFont val="Calibri"/>
        <family val="2"/>
        <charset val="204"/>
        <scheme val="minor"/>
      </rPr>
      <t>лектрик</t>
    </r>
  </si>
  <si>
    <t>2.2. Наладчик оборудования</t>
  </si>
  <si>
    <t xml:space="preserve">3.1. Грузчик </t>
  </si>
  <si>
    <r>
      <t xml:space="preserve">3.2. </t>
    </r>
    <r>
      <rPr>
        <sz val="11"/>
        <color rgb="FF000000"/>
        <rFont val="Calibri"/>
        <family val="2"/>
        <charset val="204"/>
        <scheme val="minor"/>
      </rPr>
      <t>Уборщик помещений</t>
    </r>
  </si>
  <si>
    <t>Всего</t>
  </si>
  <si>
    <t>Явочное число рабочих в смену:</t>
  </si>
  <si>
    <t>Упаковщик</t>
  </si>
  <si>
    <t>Наладчик оборудования</t>
  </si>
  <si>
    <t xml:space="preserve">Грузчик </t>
  </si>
  <si>
    <t>Уборщик помещений</t>
  </si>
  <si>
    <r>
      <rPr>
        <sz val="12"/>
        <color theme="1"/>
        <rFont val="Calibri"/>
        <family val="2"/>
        <charset val="204"/>
        <scheme val="minor"/>
      </rPr>
      <t>Оператор</t>
    </r>
    <r>
      <rPr>
        <sz val="12"/>
        <color rgb="FF000000"/>
        <rFont val="Calibri"/>
        <family val="2"/>
        <charset val="204"/>
        <scheme val="minor"/>
      </rPr>
      <t xml:space="preserve"> </t>
    </r>
  </si>
  <si>
    <r>
      <t>Э</t>
    </r>
    <r>
      <rPr>
        <sz val="12"/>
        <color rgb="FF000000"/>
        <rFont val="Calibri"/>
        <family val="2"/>
        <charset val="204"/>
        <scheme val="minor"/>
      </rPr>
      <t>лектрик</t>
    </r>
  </si>
  <si>
    <t>Тарифные разряды:</t>
  </si>
  <si>
    <t>Эффективный фонд рабочего времени всех рабочих, ч</t>
  </si>
  <si>
    <t>Размер премии, %</t>
  </si>
  <si>
    <t>Основных рабочих</t>
  </si>
  <si>
    <t>Элементы фонда оплаты труда, руб.</t>
  </si>
  <si>
    <t>Таблица 5. Расчет годового фонда заработной платы рабочих</t>
  </si>
  <si>
    <t>Таблица 6. Расчет фонда оплаты труда руководителей, специалистов и технических исполнителей</t>
  </si>
  <si>
    <t>Основная з/п</t>
  </si>
  <si>
    <t>Месячный должностной оклад, руб.</t>
  </si>
  <si>
    <t>Наименование должности</t>
  </si>
  <si>
    <t>Число руководителей, специалистов:</t>
  </si>
  <si>
    <t xml:space="preserve">Начальник подразделения </t>
  </si>
  <si>
    <t>Явочная численность, чел.</t>
  </si>
  <si>
    <t xml:space="preserve">Таблица 7. Итоговые показатели </t>
  </si>
  <si>
    <t xml:space="preserve">Показатели </t>
  </si>
  <si>
    <t>Годовой объем произведенной продукции, работ, услуг, тыс. руб.</t>
  </si>
  <si>
    <t>Годовой фонд оплаты труда всех работающих, руб.</t>
  </si>
  <si>
    <t>Численность списочная персонала, чел.</t>
  </si>
  <si>
    <t>Среднегодовая заработная плата, руб.</t>
  </si>
  <si>
    <t>Среднемесячная заработная плата, руб.</t>
  </si>
  <si>
    <t>Производительность труда 1-го работающего, тыс. руб./год</t>
  </si>
  <si>
    <t>Производительность труда 1-го работающего, тыс. руб./час</t>
  </si>
  <si>
    <t>Расчет фонда оплаты труда работников подразделения и показателей эффективности трудовых ресурсов</t>
  </si>
  <si>
    <t>7. Планируемые потери времени, ч</t>
  </si>
  <si>
    <t>Методические указания</t>
  </si>
  <si>
    <t>Ячейки,выделенные цветом, предназначены для заполнения!</t>
  </si>
  <si>
    <t>1. Для расчета необходимой численности рабочих и фонда их заработной платы необходимо составить баланс рабочего времени одного среднесписочного рабочего. Рассчитывается эффективный фонд среднесписочного рабочего (определяются показатели таблицы 1 в соотвествии с указаниями в первом столбце)</t>
  </si>
  <si>
    <t>9. Эффективный фонд рабочего времени в среднем за месяц, ч (п.8/12)</t>
  </si>
  <si>
    <t xml:space="preserve">2. Планирование фонда заработной платы выполняется в зависимости от категории работающих. Часовая тарифная ставка i-го разряда определяется произведением тарифной ставки 1 разряда на тарифный коэффициент (таблица 3). Часовая тарифная ставка 1 разряда расчитывается делением тарифной ставки 1 разряда за месяц на количество рабочих часов за месяц (см. таблицу 1) </t>
  </si>
  <si>
    <t>3. Явочный состав определяется путем умножения явочного числа рабочих в смену на количество смен</t>
  </si>
  <si>
    <t>4. Списочный состав определяется путем умножения явочного числа рабочих на переводной коэффициент, который рассчитывается по формуле (данные взять из таблицы 1)</t>
  </si>
  <si>
    <t>5. Тарифный фонд оплаты труда рассчитывается произведением эффективного фонда времени (ч) списочного сотава рабочих на часовую тарифную ставку соответствующего разряда</t>
  </si>
  <si>
    <t>6. При планировании фонда заработной платы производственных рабочих выделяют основную и дополнительную заработную плату. К основной заработной плате относится тарифный фонд заработной платы, премии по действующим премиальным положениям и доплаты за вредность, работу в ночное и вечернее время, за бригадирство и обучение учеников.
К дополнительной заработной плате относятся различные выплаты работникам за невыполненную работу в соответствии с действующим законодательством (подросткам и кормящим матерям за сокращенный рабочий день; оплата очередных и дополнительных отпусков; оплата невыходов в связи с выполнением государственных и общественных обязанностей).</t>
  </si>
  <si>
    <t>1. Тарифный фонд оплаты труда</t>
  </si>
  <si>
    <t xml:space="preserve">2. Премии </t>
  </si>
  <si>
    <t>3. Доплаты за работу в вечернее время (20%)</t>
  </si>
  <si>
    <t>4. Доплаты за работу в ночное время (40%)</t>
  </si>
  <si>
    <t>6. Дополнительная зарплата, ставка в %</t>
  </si>
  <si>
    <t>7. Дополнительная зарплата, руб.</t>
  </si>
  <si>
    <t>5. Итого основная заработная плата (п.1+п.2+п.3+п.4)</t>
  </si>
  <si>
    <t>Всего (п.5+п.7)</t>
  </si>
  <si>
    <t>Доплаты за вечернее время = Годовой тарифный фонд / 3 * 20/100</t>
  </si>
  <si>
    <t>Доплаты за вночное время = Годовой тарифный фонд / 3 * 40/101</t>
  </si>
  <si>
    <r>
      <t>Процент дополнительной заработной платы (α) может быть определен укрупненно на основании баланса рабочего времени одного среднесписочного рабочего путем деления количества дней планируемых невыходов на работу за исключением невыходов по болезни и декретным отпускам (Т</t>
    </r>
    <r>
      <rPr>
        <vertAlign val="subscript"/>
        <sz val="12"/>
        <color rgb="FF000000"/>
        <rFont val="Calibri"/>
        <family val="2"/>
        <charset val="204"/>
        <scheme val="minor"/>
      </rPr>
      <t>невых</t>
    </r>
    <r>
      <rPr>
        <sz val="12"/>
        <color rgb="FF000000"/>
        <rFont val="Calibri"/>
        <family val="2"/>
        <charset val="204"/>
        <scheme val="minor"/>
      </rPr>
      <t>) на число рабочих дней в году (Т</t>
    </r>
    <r>
      <rPr>
        <vertAlign val="subscript"/>
        <sz val="12"/>
        <color rgb="FF000000"/>
        <rFont val="Calibri"/>
        <family val="2"/>
        <charset val="204"/>
        <scheme val="minor"/>
      </rPr>
      <t>раб</t>
    </r>
    <r>
      <rPr>
        <sz val="12"/>
        <color rgb="FF000000"/>
        <rFont val="Calibri"/>
        <family val="2"/>
        <charset val="204"/>
        <scheme val="minor"/>
      </rPr>
      <t>) и умножением на 100%.</t>
    </r>
  </si>
  <si>
    <t>7. Премии определяются на основе действующих премиальных положений предприятия (см. исходные данные).
Ночным временем в трудовом праве считается время с 22.00 до 6.00. Предприятие самостоятельно в коллективном договоре определяет сумму доплат за работу в вечернее и ночное время, исходя из своих финансовых возможностей. Но эта доплата должна быть не ниже соответственно 20 и 40% часовой тарифной ставки работника за каждый час работы в вечернее и ночное время (режим работы см. в исходных данных). Укрупненный расчет проводится по формулам</t>
  </si>
  <si>
    <t>Доп. з/п (см. п.6 табл. 5)</t>
  </si>
  <si>
    <t>Премии (см. исх. данные)</t>
  </si>
  <si>
    <r>
      <t>ЗП</t>
    </r>
    <r>
      <rPr>
        <b/>
        <vertAlign val="subscript"/>
        <sz val="12"/>
        <color theme="1"/>
        <rFont val="Calibri"/>
        <family val="2"/>
        <charset val="204"/>
        <scheme val="minor"/>
      </rPr>
      <t>ср</t>
    </r>
    <r>
      <rPr>
        <b/>
        <sz val="12"/>
        <color theme="1"/>
        <rFont val="Calibri"/>
        <family val="2"/>
        <charset val="204"/>
        <scheme val="minor"/>
      </rPr>
      <t xml:space="preserve"> = ∑ФОТ / Ч</t>
    </r>
    <r>
      <rPr>
        <b/>
        <vertAlign val="subscript"/>
        <sz val="12"/>
        <color theme="1"/>
        <rFont val="Calibri"/>
        <family val="2"/>
        <charset val="204"/>
        <scheme val="minor"/>
      </rPr>
      <t>сп</t>
    </r>
  </si>
  <si>
    <r>
      <t>ПТ = ТП / Ч</t>
    </r>
    <r>
      <rPr>
        <b/>
        <vertAlign val="subscript"/>
        <sz val="12"/>
        <color theme="1"/>
        <rFont val="Calibri"/>
        <family val="2"/>
        <charset val="204"/>
        <scheme val="minor"/>
      </rPr>
      <t>сп</t>
    </r>
    <r>
      <rPr>
        <b/>
        <sz val="12"/>
        <color theme="1"/>
        <rFont val="Calibri"/>
        <family val="2"/>
        <charset val="204"/>
        <scheme val="minor"/>
      </rPr>
      <t xml:space="preserve"> </t>
    </r>
  </si>
  <si>
    <r>
      <t>где ∑ФОТ – годовой плановый фонд заработной платы работающих, руб.; Ч</t>
    </r>
    <r>
      <rPr>
        <vertAlign val="subscript"/>
        <sz val="12"/>
        <color theme="1"/>
        <rFont val="Calibri"/>
        <family val="2"/>
        <charset val="204"/>
        <scheme val="minor"/>
      </rPr>
      <t>сп</t>
    </r>
    <r>
      <rPr>
        <sz val="12"/>
        <color theme="1"/>
        <rFont val="Calibri"/>
        <family val="2"/>
        <charset val="204"/>
        <scheme val="minor"/>
      </rPr>
      <t xml:space="preserve"> – среднесписочная численность работающих, чел.</t>
    </r>
  </si>
  <si>
    <t>8. Численность руководителей, специалистов берется из штатных расписаний цехов (таблица 6). 
Планирование фонда заработной платы руководителей, специалистов и технических исполнителей производится на основании численности данных категорий работников, установленных им должностных окладов и персональных надбавок, действующих премиальных положений. При расчете годового фонда оплаты труда необходимо учесть численность персонала, месячный оклад и количество месяцев в году</t>
  </si>
  <si>
    <t>9. Результаты расчета численности и фонда заработной платы работающих представляются в таблице 7. Кроме расчетов численности и фонда оплаты труда, в плане по труду производится расчет средней заработной платы и производительности труда:</t>
  </si>
  <si>
    <t>Ксп=Тном / Tэф</t>
  </si>
  <si>
    <r>
      <t>α =(Т</t>
    </r>
    <r>
      <rPr>
        <b/>
        <vertAlign val="subscript"/>
        <sz val="12"/>
        <color rgb="FF000000"/>
        <rFont val="Calibri"/>
        <family val="2"/>
        <charset val="204"/>
        <scheme val="minor"/>
      </rPr>
      <t>невых</t>
    </r>
    <r>
      <rPr>
        <b/>
        <sz val="12"/>
        <color rgb="FF000000"/>
        <rFont val="Calibri"/>
        <family val="2"/>
        <charset val="204"/>
        <scheme val="minor"/>
      </rPr>
      <t>/Тэф</t>
    </r>
    <r>
      <rPr>
        <b/>
        <sz val="12"/>
        <color rgb="FF000000"/>
        <rFont val="Calibri"/>
        <family val="2"/>
        <charset val="204"/>
        <scheme val="minor"/>
      </rPr>
      <t>)·100%</t>
    </r>
  </si>
  <si>
    <t>Производительность труда 1-го работающего, тыс. руб./смену</t>
  </si>
  <si>
    <t>5. Эффективный фонд времени в днях (п.3-п.4)</t>
  </si>
  <si>
    <t>Как высчитать сдельную оплату труда</t>
  </si>
  <si>
    <t>Часовая тарифная ставка, руб/час.</t>
  </si>
  <si>
    <t>теория: как расчитать простую сдельную оплату; как расчитать сдельную премиальную оплату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</si>
</sst>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8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i/>
      <sz val="14"/>
      <color rgb="FFFF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b/>
      <sz val="12"/>
      <color rgb="FF000000"/>
      <name val="Calibri"/>
      <family val="2"/>
      <charset val="204"/>
      <scheme val="minor"/>
    </font>
    <font>
      <sz val="12"/>
      <color rgb="FF000000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b/>
      <i/>
      <sz val="14"/>
      <color rgb="FFC00000"/>
      <name val="Calibri"/>
      <family val="2"/>
      <charset val="204"/>
      <scheme val="minor"/>
    </font>
    <font>
      <vertAlign val="subscript"/>
      <sz val="12"/>
      <color rgb="FF000000"/>
      <name val="Calibri"/>
      <family val="2"/>
      <charset val="204"/>
      <scheme val="minor"/>
    </font>
    <font>
      <vertAlign val="subscript"/>
      <sz val="12"/>
      <color theme="1"/>
      <name val="Calibri"/>
      <family val="2"/>
      <charset val="204"/>
      <scheme val="minor"/>
    </font>
    <font>
      <b/>
      <i/>
      <sz val="14"/>
      <color theme="1"/>
      <name val="Calibri"/>
      <family val="2"/>
      <charset val="204"/>
      <scheme val="minor"/>
    </font>
    <font>
      <b/>
      <i/>
      <sz val="12"/>
      <color theme="1"/>
      <name val="Calibri"/>
      <family val="2"/>
      <charset val="204"/>
      <scheme val="minor"/>
    </font>
    <font>
      <b/>
      <vertAlign val="subscript"/>
      <sz val="12"/>
      <color rgb="FF000000"/>
      <name val="Calibri"/>
      <family val="2"/>
      <charset val="204"/>
      <scheme val="minor"/>
    </font>
    <font>
      <b/>
      <vertAlign val="subscript"/>
      <sz val="12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/>
    <xf numFmtId="0" fontId="4" fillId="0" borderId="0" xfId="0" applyFont="1" applyAlignment="1">
      <alignment horizontal="justify" vertical="center" wrapText="1"/>
    </xf>
    <xf numFmtId="0" fontId="5" fillId="0" borderId="1" xfId="0" applyFont="1" applyBorder="1" applyAlignment="1">
      <alignment horizontal="justify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justify" vertical="center" wrapText="1"/>
    </xf>
    <xf numFmtId="0" fontId="9" fillId="0" borderId="1" xfId="0" applyFont="1" applyBorder="1" applyAlignment="1">
      <alignment horizontal="justify" vertical="center" wrapText="1"/>
    </xf>
    <xf numFmtId="0" fontId="9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justify" vertical="center" wrapText="1"/>
    </xf>
    <xf numFmtId="0" fontId="5" fillId="0" borderId="1" xfId="0" applyFont="1" applyBorder="1" applyAlignment="1">
      <alignment vertical="center" wrapText="1"/>
    </xf>
    <xf numFmtId="1" fontId="5" fillId="0" borderId="0" xfId="0" applyNumberFormat="1" applyFont="1" applyAlignment="1">
      <alignment horizontal="center" vertical="center" wrapText="1"/>
    </xf>
    <xf numFmtId="2" fontId="9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2" fontId="9" fillId="2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righ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5" fillId="3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center" wrapText="1"/>
    </xf>
    <xf numFmtId="1" fontId="9" fillId="0" borderId="5" xfId="0" applyNumberFormat="1" applyFont="1" applyBorder="1" applyAlignment="1">
      <alignment horizontal="center" vertical="center" wrapText="1"/>
    </xf>
    <xf numFmtId="1" fontId="5" fillId="3" borderId="5" xfId="0" applyNumberFormat="1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left" vertical="center" wrapText="1"/>
    </xf>
    <xf numFmtId="1" fontId="5" fillId="3" borderId="0" xfId="0" applyNumberFormat="1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justify" vertical="center" wrapText="1"/>
    </xf>
    <xf numFmtId="0" fontId="0" fillId="0" borderId="1" xfId="0" applyBorder="1" applyAlignment="1">
      <alignment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justify" vertical="center" wrapText="1"/>
    </xf>
    <xf numFmtId="1" fontId="0" fillId="0" borderId="1" xfId="0" applyNumberFormat="1" applyBorder="1" applyAlignment="1">
      <alignment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2" borderId="1" xfId="0" applyNumberFormat="1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2" fontId="9" fillId="0" borderId="6" xfId="0" applyNumberFormat="1" applyFont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justify" vertical="center" wrapText="1"/>
    </xf>
    <xf numFmtId="0" fontId="5" fillId="0" borderId="1" xfId="0" applyFont="1" applyBorder="1" applyAlignment="1">
      <alignment horizontal="center" vertical="center" textRotation="90" wrapText="1"/>
    </xf>
    <xf numFmtId="2" fontId="9" fillId="0" borderId="8" xfId="0" applyNumberFormat="1" applyFont="1" applyBorder="1" applyAlignment="1">
      <alignment horizontal="center" vertical="center" wrapText="1"/>
    </xf>
    <xf numFmtId="0" fontId="5" fillId="3" borderId="8" xfId="0" applyFont="1" applyFill="1" applyBorder="1" applyAlignment="1">
      <alignment vertical="center" wrapText="1"/>
    </xf>
    <xf numFmtId="0" fontId="8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justify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justify" vertical="center" wrapText="1"/>
    </xf>
    <xf numFmtId="1" fontId="6" fillId="2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9" fillId="2" borderId="0" xfId="0" applyFont="1" applyFill="1" applyAlignment="1">
      <alignment horizontal="justify" vertical="center"/>
    </xf>
    <xf numFmtId="0" fontId="6" fillId="0" borderId="0" xfId="0" applyFont="1" applyAlignment="1">
      <alignment horizontal="center" vertical="center"/>
    </xf>
    <xf numFmtId="0" fontId="5" fillId="4" borderId="0" xfId="0" applyFont="1" applyFill="1" applyAlignment="1">
      <alignment horizontal="justify" vertical="center"/>
    </xf>
    <xf numFmtId="0" fontId="5" fillId="2" borderId="0" xfId="0" applyFont="1" applyFill="1" applyAlignment="1">
      <alignment horizontal="justify" vertical="center"/>
    </xf>
    <xf numFmtId="0" fontId="14" fillId="0" borderId="0" xfId="0" applyFont="1" applyAlignment="1">
      <alignment horizontal="center" vertical="center"/>
    </xf>
    <xf numFmtId="0" fontId="5" fillId="2" borderId="0" xfId="0" applyFont="1" applyFill="1" applyAlignment="1">
      <alignment horizontal="left" vertical="center" wrapText="1"/>
    </xf>
    <xf numFmtId="0" fontId="5" fillId="4" borderId="0" xfId="0" applyFont="1" applyFill="1" applyAlignment="1">
      <alignment horizontal="left" vertical="center" wrapText="1"/>
    </xf>
    <xf numFmtId="0" fontId="9" fillId="4" borderId="0" xfId="0" applyFont="1" applyFill="1" applyAlignment="1">
      <alignment horizontal="justify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justify" vertical="center" wrapText="1"/>
    </xf>
    <xf numFmtId="0" fontId="9" fillId="0" borderId="0" xfId="0" applyFont="1" applyAlignment="1">
      <alignment horizontal="justify" vertical="center"/>
    </xf>
    <xf numFmtId="0" fontId="9" fillId="4" borderId="0" xfId="0" applyFont="1" applyFill="1" applyAlignment="1">
      <alignment horizontal="left" vertical="center" wrapText="1"/>
    </xf>
    <xf numFmtId="0" fontId="5" fillId="0" borderId="0" xfId="0" applyFont="1" applyAlignment="1">
      <alignment horizontal="justify" vertical="center"/>
    </xf>
    <xf numFmtId="0" fontId="6" fillId="0" borderId="0" xfId="0" applyFont="1" applyAlignment="1">
      <alignment horizontal="center"/>
    </xf>
    <xf numFmtId="0" fontId="6" fillId="5" borderId="1" xfId="0" applyFont="1" applyFill="1" applyBorder="1" applyAlignment="1">
      <alignment horizontal="center"/>
    </xf>
    <xf numFmtId="1" fontId="5" fillId="5" borderId="1" xfId="0" applyNumberFormat="1" applyFont="1" applyFill="1" applyBorder="1" applyAlignment="1">
      <alignment horizontal="center" vertical="center" wrapText="1"/>
    </xf>
    <xf numFmtId="1" fontId="5" fillId="5" borderId="1" xfId="0" applyNumberFormat="1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 vertical="center" wrapText="1"/>
    </xf>
    <xf numFmtId="1" fontId="5" fillId="5" borderId="5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textRotation="90" wrapText="1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justify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0"/>
  <sheetViews>
    <sheetView tabSelected="1" topLeftCell="A76" zoomScale="85" zoomScaleNormal="85" workbookViewId="0">
      <selection activeCell="J87" sqref="J87"/>
    </sheetView>
  </sheetViews>
  <sheetFormatPr defaultColWidth="8.77734375" defaultRowHeight="14.4" x14ac:dyDescent="0.3"/>
  <cols>
    <col min="1" max="1" width="59.5546875" customWidth="1"/>
    <col min="2" max="2" width="12.33203125" bestFit="1" customWidth="1"/>
    <col min="3" max="3" width="11" customWidth="1"/>
    <col min="4" max="4" width="10.6640625" customWidth="1"/>
    <col min="5" max="5" width="12.33203125" bestFit="1" customWidth="1"/>
    <col min="6" max="6" width="14" customWidth="1"/>
    <col min="7" max="7" width="11.33203125" customWidth="1"/>
    <col min="8" max="8" width="9.6640625" customWidth="1"/>
    <col min="9" max="9" width="10.21875" customWidth="1"/>
  </cols>
  <sheetData>
    <row r="1" spans="1:11" ht="18" x14ac:dyDescent="0.35">
      <c r="A1" s="1" t="s">
        <v>77</v>
      </c>
    </row>
    <row r="3" spans="1:11" ht="15.6" x14ac:dyDescent="0.3">
      <c r="A3" s="81" t="s">
        <v>10</v>
      </c>
      <c r="B3" s="82"/>
      <c r="C3" s="82"/>
      <c r="D3" s="82"/>
      <c r="E3" s="82"/>
      <c r="F3" s="82"/>
      <c r="G3" s="82"/>
      <c r="H3" s="82"/>
      <c r="I3" s="82"/>
      <c r="J3" s="82"/>
      <c r="K3" s="83"/>
    </row>
    <row r="4" spans="1:11" ht="15" customHeight="1" x14ac:dyDescent="0.3">
      <c r="A4" s="4" t="s">
        <v>0</v>
      </c>
      <c r="B4" s="84" t="s">
        <v>1</v>
      </c>
      <c r="C4" s="85"/>
      <c r="D4" s="85"/>
      <c r="E4" s="85"/>
      <c r="F4" s="85"/>
      <c r="G4" s="85"/>
      <c r="H4" s="85"/>
      <c r="I4" s="85"/>
      <c r="J4" s="85"/>
      <c r="K4" s="86"/>
    </row>
    <row r="5" spans="1:11" ht="15.6" x14ac:dyDescent="0.3">
      <c r="A5" s="4"/>
      <c r="B5" s="56">
        <v>1</v>
      </c>
      <c r="C5" s="73">
        <v>2</v>
      </c>
      <c r="D5" s="57">
        <v>3</v>
      </c>
      <c r="E5" s="57">
        <v>4</v>
      </c>
      <c r="F5" s="57">
        <v>5</v>
      </c>
      <c r="G5" s="57">
        <v>6</v>
      </c>
      <c r="H5" s="57">
        <v>7</v>
      </c>
      <c r="I5" s="57">
        <v>8</v>
      </c>
      <c r="J5" s="57">
        <v>9</v>
      </c>
      <c r="K5" s="57">
        <v>10</v>
      </c>
    </row>
    <row r="6" spans="1:11" ht="18.75" customHeight="1" x14ac:dyDescent="0.3">
      <c r="A6" s="3" t="s">
        <v>2</v>
      </c>
      <c r="B6" s="7">
        <v>365</v>
      </c>
      <c r="C6" s="74">
        <v>365</v>
      </c>
      <c r="D6" s="7">
        <v>366</v>
      </c>
      <c r="E6" s="7">
        <v>365</v>
      </c>
      <c r="F6" s="7">
        <v>365</v>
      </c>
      <c r="G6" s="7">
        <v>366</v>
      </c>
      <c r="H6" s="7">
        <v>365</v>
      </c>
      <c r="I6" s="7">
        <v>365</v>
      </c>
      <c r="J6" s="7">
        <v>366</v>
      </c>
      <c r="K6" s="7">
        <v>365</v>
      </c>
    </row>
    <row r="7" spans="1:11" ht="17.7" customHeight="1" x14ac:dyDescent="0.3">
      <c r="A7" s="3" t="s">
        <v>3</v>
      </c>
      <c r="B7" s="7">
        <v>113</v>
      </c>
      <c r="C7" s="74">
        <v>112</v>
      </c>
      <c r="D7" s="7">
        <v>111</v>
      </c>
      <c r="E7" s="7">
        <v>110</v>
      </c>
      <c r="F7" s="7">
        <v>109</v>
      </c>
      <c r="G7" s="7">
        <v>108</v>
      </c>
      <c r="H7" s="7">
        <v>113</v>
      </c>
      <c r="I7" s="7">
        <v>112</v>
      </c>
      <c r="J7" s="7">
        <v>111</v>
      </c>
      <c r="K7" s="7">
        <v>110</v>
      </c>
    </row>
    <row r="8" spans="1:11" ht="14.7" customHeight="1" x14ac:dyDescent="0.3">
      <c r="A8" s="3" t="s">
        <v>4</v>
      </c>
      <c r="B8" s="8"/>
      <c r="C8" s="74">
        <f>C6-C7</f>
        <v>253</v>
      </c>
      <c r="D8" s="8"/>
      <c r="E8" s="8"/>
      <c r="F8" s="8"/>
      <c r="G8" s="8"/>
      <c r="H8" s="8"/>
      <c r="I8" s="8"/>
      <c r="J8" s="8"/>
      <c r="K8" s="8"/>
    </row>
    <row r="9" spans="1:11" ht="15" customHeight="1" x14ac:dyDescent="0.3">
      <c r="A9" s="3" t="s">
        <v>36</v>
      </c>
      <c r="B9" s="8"/>
      <c r="C9" s="74">
        <f>SUM(C10:C13)</f>
        <v>32</v>
      </c>
      <c r="D9" s="8"/>
      <c r="E9" s="8"/>
      <c r="F9" s="8"/>
      <c r="G9" s="8"/>
      <c r="H9" s="8"/>
      <c r="I9" s="8"/>
      <c r="J9" s="8"/>
      <c r="K9" s="8"/>
    </row>
    <row r="10" spans="1:11" ht="16.649999999999999" customHeight="1" x14ac:dyDescent="0.3">
      <c r="A10" s="22" t="s">
        <v>5</v>
      </c>
      <c r="B10" s="7">
        <v>26</v>
      </c>
      <c r="C10" s="75">
        <v>28</v>
      </c>
      <c r="D10" s="9">
        <v>30</v>
      </c>
      <c r="E10" s="9">
        <v>31</v>
      </c>
      <c r="F10" s="9">
        <v>32</v>
      </c>
      <c r="G10" s="9">
        <v>28</v>
      </c>
      <c r="H10" s="9">
        <v>26</v>
      </c>
      <c r="I10" s="9">
        <v>27</v>
      </c>
      <c r="J10" s="9">
        <v>30</v>
      </c>
      <c r="K10" s="9">
        <v>32</v>
      </c>
    </row>
    <row r="11" spans="1:11" ht="19.95" customHeight="1" x14ac:dyDescent="0.3">
      <c r="A11" s="22" t="s">
        <v>6</v>
      </c>
      <c r="B11" s="7">
        <v>3</v>
      </c>
      <c r="C11" s="75">
        <v>1</v>
      </c>
      <c r="D11" s="9">
        <v>2</v>
      </c>
      <c r="E11" s="9">
        <v>0</v>
      </c>
      <c r="F11" s="9">
        <v>3</v>
      </c>
      <c r="G11" s="9">
        <v>2</v>
      </c>
      <c r="H11" s="9">
        <v>1</v>
      </c>
      <c r="I11" s="9">
        <v>2</v>
      </c>
      <c r="J11" s="9">
        <v>3</v>
      </c>
      <c r="K11" s="9">
        <v>0</v>
      </c>
    </row>
    <row r="12" spans="1:11" ht="14.7" customHeight="1" x14ac:dyDescent="0.3">
      <c r="A12" s="22" t="s">
        <v>7</v>
      </c>
      <c r="B12" s="7">
        <v>3</v>
      </c>
      <c r="C12" s="75">
        <v>2</v>
      </c>
      <c r="D12" s="9">
        <v>1</v>
      </c>
      <c r="E12" s="9">
        <v>4</v>
      </c>
      <c r="F12" s="9">
        <v>2</v>
      </c>
      <c r="G12" s="9">
        <v>1</v>
      </c>
      <c r="H12" s="9">
        <v>3</v>
      </c>
      <c r="I12" s="9">
        <v>2</v>
      </c>
      <c r="J12" s="9">
        <v>3</v>
      </c>
      <c r="K12" s="9">
        <v>1</v>
      </c>
    </row>
    <row r="13" spans="1:11" ht="32.25" customHeight="1" x14ac:dyDescent="0.3">
      <c r="A13" s="22" t="s">
        <v>8</v>
      </c>
      <c r="B13" s="7">
        <v>2</v>
      </c>
      <c r="C13" s="74">
        <v>1</v>
      </c>
      <c r="D13" s="7">
        <v>2</v>
      </c>
      <c r="E13" s="7">
        <v>0</v>
      </c>
      <c r="F13" s="7">
        <v>3</v>
      </c>
      <c r="G13" s="7">
        <v>0</v>
      </c>
      <c r="H13" s="7">
        <v>2</v>
      </c>
      <c r="I13" s="7">
        <v>1</v>
      </c>
      <c r="J13" s="7">
        <v>3</v>
      </c>
      <c r="K13" s="7">
        <v>2</v>
      </c>
    </row>
    <row r="14" spans="1:11" ht="17.25" customHeight="1" x14ac:dyDescent="0.3">
      <c r="A14" s="3" t="s">
        <v>110</v>
      </c>
      <c r="B14" s="8"/>
      <c r="C14" s="74">
        <f>C8-C9</f>
        <v>221</v>
      </c>
      <c r="D14" s="8"/>
      <c r="E14" s="8"/>
      <c r="F14" s="8"/>
      <c r="G14" s="8"/>
      <c r="H14" s="8"/>
      <c r="I14" s="8"/>
      <c r="J14" s="8"/>
      <c r="K14" s="8"/>
    </row>
    <row r="15" spans="1:11" ht="29.7" customHeight="1" x14ac:dyDescent="0.3">
      <c r="A15" s="3" t="s">
        <v>37</v>
      </c>
      <c r="B15" s="8"/>
      <c r="C15" s="74">
        <f>C14*8</f>
        <v>1768</v>
      </c>
      <c r="D15" s="8"/>
      <c r="E15" s="8"/>
      <c r="F15" s="8"/>
      <c r="G15" s="8"/>
      <c r="H15" s="8"/>
      <c r="I15" s="8"/>
      <c r="J15" s="8"/>
      <c r="K15" s="8"/>
    </row>
    <row r="16" spans="1:11" ht="15.6" x14ac:dyDescent="0.3">
      <c r="A16" s="3" t="s">
        <v>78</v>
      </c>
      <c r="B16" s="7">
        <v>10</v>
      </c>
      <c r="C16" s="74">
        <v>9</v>
      </c>
      <c r="D16" s="7">
        <v>28</v>
      </c>
      <c r="E16" s="7">
        <v>7</v>
      </c>
      <c r="F16" s="7">
        <v>15</v>
      </c>
      <c r="G16" s="7">
        <v>6</v>
      </c>
      <c r="H16" s="7">
        <v>10</v>
      </c>
      <c r="I16" s="7">
        <v>15</v>
      </c>
      <c r="J16" s="7">
        <v>10</v>
      </c>
      <c r="K16" s="7">
        <v>17</v>
      </c>
    </row>
    <row r="17" spans="1:11" ht="19.350000000000001" customHeight="1" x14ac:dyDescent="0.3">
      <c r="A17" s="3" t="s">
        <v>9</v>
      </c>
      <c r="B17" s="8"/>
      <c r="C17" s="74">
        <f>C15-C16</f>
        <v>1759</v>
      </c>
      <c r="D17" s="8"/>
      <c r="E17" s="8"/>
      <c r="F17" s="8"/>
      <c r="G17" s="8"/>
      <c r="H17" s="8"/>
      <c r="I17" s="8"/>
      <c r="J17" s="8"/>
      <c r="K17" s="8"/>
    </row>
    <row r="18" spans="1:11" ht="29.1" customHeight="1" x14ac:dyDescent="0.3">
      <c r="A18" s="3" t="s">
        <v>82</v>
      </c>
      <c r="B18" s="8"/>
      <c r="C18" s="74">
        <f>C17/12</f>
        <v>146.58333333333334</v>
      </c>
      <c r="D18" s="8"/>
      <c r="E18" s="8"/>
      <c r="F18" s="8"/>
      <c r="G18" s="8"/>
      <c r="H18" s="8"/>
      <c r="I18" s="8"/>
      <c r="J18" s="8"/>
      <c r="K18" s="8"/>
    </row>
    <row r="20" spans="1:11" ht="15.6" x14ac:dyDescent="0.3">
      <c r="A20" s="87" t="s">
        <v>41</v>
      </c>
      <c r="B20" s="87"/>
      <c r="C20" s="87"/>
      <c r="D20" s="87"/>
      <c r="E20" s="87"/>
      <c r="F20" s="87"/>
      <c r="G20" s="87"/>
      <c r="H20" s="87"/>
    </row>
    <row r="21" spans="1:11" ht="15.6" x14ac:dyDescent="0.3">
      <c r="A21" s="4" t="s">
        <v>0</v>
      </c>
      <c r="B21" s="84" t="s">
        <v>1</v>
      </c>
      <c r="C21" s="85"/>
      <c r="D21" s="85"/>
      <c r="E21" s="85"/>
      <c r="F21" s="85"/>
      <c r="G21" s="85"/>
      <c r="H21" s="85"/>
      <c r="I21" s="85"/>
      <c r="J21" s="85"/>
      <c r="K21" s="86"/>
    </row>
    <row r="22" spans="1:11" ht="15.6" x14ac:dyDescent="0.3">
      <c r="A22" s="4"/>
      <c r="B22" s="56">
        <v>1</v>
      </c>
      <c r="C22" s="73">
        <v>2</v>
      </c>
      <c r="D22" s="57">
        <v>3</v>
      </c>
      <c r="E22" s="57">
        <v>4</v>
      </c>
      <c r="F22" s="57">
        <v>5</v>
      </c>
      <c r="G22" s="57">
        <v>6</v>
      </c>
      <c r="H22" s="57">
        <v>7</v>
      </c>
      <c r="I22" s="57">
        <v>8</v>
      </c>
      <c r="J22" s="57">
        <v>9</v>
      </c>
      <c r="K22" s="57">
        <v>10</v>
      </c>
    </row>
    <row r="23" spans="1:11" ht="15.6" x14ac:dyDescent="0.3">
      <c r="A23" s="3" t="s">
        <v>40</v>
      </c>
      <c r="B23" s="7">
        <v>600</v>
      </c>
      <c r="C23" s="74">
        <v>520</v>
      </c>
      <c r="D23" s="7">
        <v>480</v>
      </c>
      <c r="E23" s="7">
        <v>660</v>
      </c>
      <c r="F23" s="7">
        <v>500</v>
      </c>
      <c r="G23" s="7">
        <v>450</v>
      </c>
      <c r="H23" s="7">
        <v>390</v>
      </c>
      <c r="I23" s="7">
        <v>670</v>
      </c>
      <c r="J23" s="7">
        <v>580</v>
      </c>
      <c r="K23" s="7">
        <v>490</v>
      </c>
    </row>
    <row r="24" spans="1:11" ht="15.6" x14ac:dyDescent="0.3">
      <c r="A24" s="3" t="s">
        <v>57</v>
      </c>
      <c r="B24" s="7">
        <v>50</v>
      </c>
      <c r="C24" s="74">
        <v>55</v>
      </c>
      <c r="D24" s="7">
        <v>60</v>
      </c>
      <c r="E24" s="7">
        <v>40</v>
      </c>
      <c r="F24" s="7">
        <v>45</v>
      </c>
      <c r="G24" s="7">
        <v>50</v>
      </c>
      <c r="H24" s="7">
        <v>55</v>
      </c>
      <c r="I24" s="7">
        <v>60</v>
      </c>
      <c r="J24" s="7">
        <v>45</v>
      </c>
      <c r="K24" s="7">
        <v>40</v>
      </c>
    </row>
    <row r="25" spans="1:11" ht="15.6" x14ac:dyDescent="0.3">
      <c r="A25" s="3" t="s">
        <v>42</v>
      </c>
      <c r="B25" s="7">
        <v>2</v>
      </c>
      <c r="C25" s="74">
        <v>3</v>
      </c>
      <c r="D25" s="7">
        <v>2</v>
      </c>
      <c r="E25" s="7">
        <v>3</v>
      </c>
      <c r="F25" s="7">
        <v>2</v>
      </c>
      <c r="G25" s="7">
        <v>3</v>
      </c>
      <c r="H25" s="7">
        <v>2</v>
      </c>
      <c r="I25" s="7">
        <v>3</v>
      </c>
      <c r="J25" s="7">
        <v>2</v>
      </c>
      <c r="K25" s="7">
        <v>3</v>
      </c>
    </row>
    <row r="26" spans="1:11" ht="31.2" x14ac:dyDescent="0.3">
      <c r="A26" s="3" t="s">
        <v>70</v>
      </c>
      <c r="B26" s="7">
        <v>13380</v>
      </c>
      <c r="C26" s="74">
        <v>15960</v>
      </c>
      <c r="D26" s="7">
        <v>16040</v>
      </c>
      <c r="E26" s="7">
        <v>27300</v>
      </c>
      <c r="F26" s="7">
        <v>38420</v>
      </c>
      <c r="G26" s="7">
        <v>4760</v>
      </c>
      <c r="H26" s="7">
        <v>23500</v>
      </c>
      <c r="I26" s="7">
        <v>19450</v>
      </c>
      <c r="J26" s="7">
        <v>21360</v>
      </c>
      <c r="K26" s="7">
        <v>14790</v>
      </c>
    </row>
    <row r="27" spans="1:11" ht="15.6" x14ac:dyDescent="0.3">
      <c r="A27" s="11" t="s">
        <v>48</v>
      </c>
      <c r="B27" s="16"/>
      <c r="C27" s="76"/>
      <c r="D27" s="17"/>
      <c r="E27" s="17"/>
      <c r="F27" s="17"/>
      <c r="G27" s="17"/>
      <c r="H27" s="17"/>
      <c r="I27" s="17"/>
      <c r="J27" s="7"/>
      <c r="K27" s="7"/>
    </row>
    <row r="28" spans="1:11" ht="15.6" x14ac:dyDescent="0.3">
      <c r="A28" s="19" t="s">
        <v>53</v>
      </c>
      <c r="B28" s="20">
        <v>1</v>
      </c>
      <c r="C28" s="74">
        <v>2</v>
      </c>
      <c r="D28" s="21">
        <v>3</v>
      </c>
      <c r="E28" s="21">
        <v>4</v>
      </c>
      <c r="F28" s="21">
        <v>2</v>
      </c>
      <c r="G28" s="21">
        <v>1</v>
      </c>
      <c r="H28" s="21">
        <v>4</v>
      </c>
      <c r="I28" s="21">
        <v>3</v>
      </c>
      <c r="J28" s="7">
        <v>3</v>
      </c>
      <c r="K28" s="7">
        <v>2</v>
      </c>
    </row>
    <row r="29" spans="1:11" ht="15.6" x14ac:dyDescent="0.3">
      <c r="A29" s="19" t="s">
        <v>49</v>
      </c>
      <c r="B29" s="20">
        <v>5</v>
      </c>
      <c r="C29" s="74">
        <v>4</v>
      </c>
      <c r="D29" s="21">
        <v>5</v>
      </c>
      <c r="E29" s="21">
        <v>6</v>
      </c>
      <c r="F29" s="21">
        <v>3</v>
      </c>
      <c r="G29" s="21">
        <v>4</v>
      </c>
      <c r="H29" s="21">
        <v>5</v>
      </c>
      <c r="I29" s="21">
        <v>6</v>
      </c>
      <c r="J29" s="7">
        <v>4</v>
      </c>
      <c r="K29" s="7">
        <v>5</v>
      </c>
    </row>
    <row r="30" spans="1:11" ht="15.6" x14ac:dyDescent="0.3">
      <c r="A30" s="22" t="s">
        <v>54</v>
      </c>
      <c r="B30" s="20">
        <v>1</v>
      </c>
      <c r="C30" s="74">
        <v>1</v>
      </c>
      <c r="D30" s="21">
        <v>2</v>
      </c>
      <c r="E30" s="21">
        <v>1</v>
      </c>
      <c r="F30" s="21">
        <v>2</v>
      </c>
      <c r="G30" s="21">
        <v>3</v>
      </c>
      <c r="H30" s="21">
        <v>2</v>
      </c>
      <c r="I30" s="21">
        <v>1</v>
      </c>
      <c r="J30" s="7">
        <v>2</v>
      </c>
      <c r="K30" s="7">
        <v>1</v>
      </c>
    </row>
    <row r="31" spans="1:11" ht="15.6" x14ac:dyDescent="0.3">
      <c r="A31" s="22" t="s">
        <v>50</v>
      </c>
      <c r="B31" s="20">
        <v>1</v>
      </c>
      <c r="C31" s="74">
        <v>2</v>
      </c>
      <c r="D31" s="21">
        <v>3</v>
      </c>
      <c r="E31" s="21">
        <v>1</v>
      </c>
      <c r="F31" s="21">
        <v>2</v>
      </c>
      <c r="G31" s="21">
        <v>3</v>
      </c>
      <c r="H31" s="21">
        <v>1</v>
      </c>
      <c r="I31" s="21">
        <v>2</v>
      </c>
      <c r="J31" s="7">
        <v>3</v>
      </c>
      <c r="K31" s="7">
        <v>1</v>
      </c>
    </row>
    <row r="32" spans="1:11" ht="15.6" x14ac:dyDescent="0.3">
      <c r="A32" s="22" t="s">
        <v>51</v>
      </c>
      <c r="B32" s="20">
        <v>2</v>
      </c>
      <c r="C32" s="74">
        <v>2</v>
      </c>
      <c r="D32" s="21">
        <v>3</v>
      </c>
      <c r="E32" s="21">
        <v>1</v>
      </c>
      <c r="F32" s="21">
        <v>3</v>
      </c>
      <c r="G32" s="21">
        <v>2</v>
      </c>
      <c r="H32" s="21">
        <v>2</v>
      </c>
      <c r="I32" s="21">
        <v>3</v>
      </c>
      <c r="J32" s="7">
        <v>1</v>
      </c>
      <c r="K32" s="7">
        <v>1</v>
      </c>
    </row>
    <row r="33" spans="1:12" ht="15.6" x14ac:dyDescent="0.3">
      <c r="A33" s="19" t="s">
        <v>52</v>
      </c>
      <c r="B33" s="20">
        <v>3</v>
      </c>
      <c r="C33" s="74">
        <v>1</v>
      </c>
      <c r="D33" s="21">
        <v>2</v>
      </c>
      <c r="E33" s="21">
        <v>1</v>
      </c>
      <c r="F33" s="21">
        <v>3</v>
      </c>
      <c r="G33" s="21">
        <v>2</v>
      </c>
      <c r="H33" s="21">
        <v>2</v>
      </c>
      <c r="I33" s="21">
        <v>1</v>
      </c>
      <c r="J33" s="7">
        <v>3</v>
      </c>
      <c r="K33" s="7">
        <v>1</v>
      </c>
    </row>
    <row r="34" spans="1:12" ht="15.6" x14ac:dyDescent="0.3">
      <c r="A34" s="25" t="s">
        <v>55</v>
      </c>
      <c r="B34" s="23"/>
      <c r="C34" s="77"/>
      <c r="D34" s="24"/>
      <c r="E34" s="24"/>
      <c r="F34" s="24"/>
      <c r="G34" s="24"/>
      <c r="H34" s="24"/>
      <c r="I34" s="24"/>
      <c r="J34" s="7"/>
      <c r="K34" s="7"/>
    </row>
    <row r="35" spans="1:12" ht="15.6" x14ac:dyDescent="0.3">
      <c r="A35" s="19" t="s">
        <v>53</v>
      </c>
      <c r="B35" s="23">
        <v>6</v>
      </c>
      <c r="C35" s="77">
        <v>7</v>
      </c>
      <c r="D35" s="24">
        <v>6</v>
      </c>
      <c r="E35" s="24">
        <v>5</v>
      </c>
      <c r="F35" s="24">
        <v>8</v>
      </c>
      <c r="G35" s="24">
        <v>8</v>
      </c>
      <c r="H35" s="24">
        <v>7</v>
      </c>
      <c r="I35" s="24">
        <v>6</v>
      </c>
      <c r="J35" s="7">
        <v>7</v>
      </c>
      <c r="K35" s="7">
        <v>8</v>
      </c>
    </row>
    <row r="36" spans="1:12" ht="15.6" x14ac:dyDescent="0.3">
      <c r="A36" s="19" t="s">
        <v>49</v>
      </c>
      <c r="B36" s="23">
        <v>4</v>
      </c>
      <c r="C36" s="77">
        <v>3</v>
      </c>
      <c r="D36" s="24">
        <v>4</v>
      </c>
      <c r="E36" s="24">
        <v>4</v>
      </c>
      <c r="F36" s="24">
        <v>3</v>
      </c>
      <c r="G36" s="24">
        <v>4</v>
      </c>
      <c r="H36" s="24">
        <v>3</v>
      </c>
      <c r="I36" s="24">
        <v>4</v>
      </c>
      <c r="J36" s="7">
        <v>3</v>
      </c>
      <c r="K36" s="7">
        <v>4</v>
      </c>
    </row>
    <row r="37" spans="1:12" ht="15.6" x14ac:dyDescent="0.3">
      <c r="A37" s="22" t="s">
        <v>54</v>
      </c>
      <c r="B37" s="23">
        <v>5</v>
      </c>
      <c r="C37" s="77">
        <v>5</v>
      </c>
      <c r="D37" s="24">
        <v>4</v>
      </c>
      <c r="E37" s="24">
        <v>6</v>
      </c>
      <c r="F37" s="24">
        <v>5</v>
      </c>
      <c r="G37" s="24">
        <v>5</v>
      </c>
      <c r="H37" s="24">
        <v>4</v>
      </c>
      <c r="I37" s="24">
        <v>6</v>
      </c>
      <c r="J37" s="7">
        <v>5</v>
      </c>
      <c r="K37" s="7">
        <v>4</v>
      </c>
    </row>
    <row r="38" spans="1:12" ht="15.6" x14ac:dyDescent="0.3">
      <c r="A38" s="22" t="s">
        <v>50</v>
      </c>
      <c r="B38" s="23">
        <v>7</v>
      </c>
      <c r="C38" s="77">
        <v>6</v>
      </c>
      <c r="D38" s="24">
        <v>8</v>
      </c>
      <c r="E38" s="24">
        <v>5</v>
      </c>
      <c r="F38" s="24">
        <v>6</v>
      </c>
      <c r="G38" s="24">
        <v>7</v>
      </c>
      <c r="H38" s="24">
        <v>8</v>
      </c>
      <c r="I38" s="24">
        <v>5</v>
      </c>
      <c r="J38" s="7">
        <v>6</v>
      </c>
      <c r="K38" s="7">
        <v>7</v>
      </c>
    </row>
    <row r="39" spans="1:12" ht="15.6" x14ac:dyDescent="0.3">
      <c r="A39" s="22" t="s">
        <v>51</v>
      </c>
      <c r="B39" s="23">
        <v>3</v>
      </c>
      <c r="C39" s="77">
        <v>2</v>
      </c>
      <c r="D39" s="24">
        <v>3</v>
      </c>
      <c r="E39" s="24">
        <v>2</v>
      </c>
      <c r="F39" s="24">
        <v>2</v>
      </c>
      <c r="G39" s="24">
        <v>3</v>
      </c>
      <c r="H39" s="24">
        <v>2</v>
      </c>
      <c r="I39" s="24">
        <v>3</v>
      </c>
      <c r="J39" s="7">
        <v>2</v>
      </c>
      <c r="K39" s="7">
        <v>3</v>
      </c>
    </row>
    <row r="40" spans="1:12" ht="15.6" x14ac:dyDescent="0.3">
      <c r="A40" s="19" t="s">
        <v>52</v>
      </c>
      <c r="B40" s="23">
        <v>2</v>
      </c>
      <c r="C40" s="77">
        <v>2</v>
      </c>
      <c r="D40" s="24">
        <v>3</v>
      </c>
      <c r="E40" s="24">
        <v>1</v>
      </c>
      <c r="F40" s="24">
        <v>2</v>
      </c>
      <c r="G40" s="24">
        <v>2</v>
      </c>
      <c r="H40" s="24">
        <v>1</v>
      </c>
      <c r="I40" s="24">
        <v>3</v>
      </c>
      <c r="J40" s="7">
        <v>2</v>
      </c>
      <c r="K40" s="7">
        <v>2</v>
      </c>
    </row>
    <row r="41" spans="1:12" ht="15.6" x14ac:dyDescent="0.3">
      <c r="A41" s="50" t="s">
        <v>65</v>
      </c>
      <c r="B41" s="20"/>
      <c r="C41" s="74"/>
      <c r="D41" s="21"/>
      <c r="E41" s="21"/>
      <c r="F41" s="21"/>
      <c r="G41" s="21"/>
      <c r="H41" s="21"/>
      <c r="I41" s="21"/>
      <c r="J41" s="7"/>
      <c r="K41" s="7"/>
    </row>
    <row r="42" spans="1:12" ht="15.6" x14ac:dyDescent="0.3">
      <c r="A42" s="22" t="s">
        <v>66</v>
      </c>
      <c r="B42" s="20">
        <v>1</v>
      </c>
      <c r="C42" s="74">
        <v>2</v>
      </c>
      <c r="D42" s="21">
        <v>1</v>
      </c>
      <c r="E42" s="21">
        <v>2</v>
      </c>
      <c r="F42" s="21">
        <v>1</v>
      </c>
      <c r="G42" s="21">
        <v>2</v>
      </c>
      <c r="H42" s="21">
        <v>1</v>
      </c>
      <c r="I42" s="21">
        <v>2</v>
      </c>
      <c r="J42" s="7">
        <v>1</v>
      </c>
      <c r="K42" s="7">
        <v>2</v>
      </c>
    </row>
    <row r="43" spans="1:12" ht="15.6" x14ac:dyDescent="0.3">
      <c r="A43" s="22" t="s">
        <v>33</v>
      </c>
      <c r="B43" s="20">
        <v>1</v>
      </c>
      <c r="C43" s="74">
        <v>2</v>
      </c>
      <c r="D43" s="21">
        <v>3</v>
      </c>
      <c r="E43" s="21">
        <v>1</v>
      </c>
      <c r="F43" s="21">
        <v>2</v>
      </c>
      <c r="G43" s="21">
        <v>3</v>
      </c>
      <c r="H43" s="21">
        <v>1</v>
      </c>
      <c r="I43" s="21">
        <v>2</v>
      </c>
      <c r="J43" s="7">
        <v>3</v>
      </c>
      <c r="K43" s="7">
        <v>1</v>
      </c>
    </row>
    <row r="44" spans="1:12" ht="15.6" x14ac:dyDescent="0.3">
      <c r="A44" s="22" t="s">
        <v>34</v>
      </c>
      <c r="B44" s="20">
        <v>2</v>
      </c>
      <c r="C44" s="74">
        <v>3</v>
      </c>
      <c r="D44" s="21">
        <v>1</v>
      </c>
      <c r="E44" s="21">
        <v>2</v>
      </c>
      <c r="F44" s="21">
        <v>3</v>
      </c>
      <c r="G44" s="21">
        <v>1</v>
      </c>
      <c r="H44" s="21">
        <v>2</v>
      </c>
      <c r="I44" s="21">
        <v>3</v>
      </c>
      <c r="J44" s="7">
        <v>1</v>
      </c>
      <c r="K44" s="7">
        <v>2</v>
      </c>
      <c r="L44" s="26"/>
    </row>
    <row r="45" spans="1:12" ht="15.6" x14ac:dyDescent="0.3">
      <c r="A45" s="51" t="s">
        <v>63</v>
      </c>
      <c r="B45" s="20"/>
      <c r="C45" s="74"/>
      <c r="D45" s="21"/>
      <c r="E45" s="21"/>
      <c r="F45" s="21"/>
      <c r="G45" s="21"/>
      <c r="H45" s="21"/>
      <c r="I45" s="21"/>
      <c r="J45" s="7"/>
      <c r="K45" s="7"/>
    </row>
    <row r="46" spans="1:12" ht="15.6" x14ac:dyDescent="0.3">
      <c r="A46" s="22" t="s">
        <v>32</v>
      </c>
      <c r="B46" s="20">
        <v>3500</v>
      </c>
      <c r="C46" s="74">
        <v>3100</v>
      </c>
      <c r="D46" s="21">
        <v>3150</v>
      </c>
      <c r="E46" s="21">
        <v>2900</v>
      </c>
      <c r="F46" s="21">
        <v>2180</v>
      </c>
      <c r="G46" s="21">
        <v>3010</v>
      </c>
      <c r="H46" s="21">
        <v>2240</v>
      </c>
      <c r="I46" s="21">
        <v>2670</v>
      </c>
      <c r="J46" s="7">
        <v>2550</v>
      </c>
      <c r="K46" s="7">
        <v>3140</v>
      </c>
    </row>
    <row r="47" spans="1:12" ht="15.6" x14ac:dyDescent="0.3">
      <c r="A47" s="22" t="s">
        <v>33</v>
      </c>
      <c r="B47" s="20">
        <v>3160</v>
      </c>
      <c r="C47" s="74">
        <v>2800</v>
      </c>
      <c r="D47" s="21">
        <v>2750</v>
      </c>
      <c r="E47" s="21">
        <v>2210</v>
      </c>
      <c r="F47" s="21">
        <v>1800</v>
      </c>
      <c r="G47" s="21">
        <v>2460</v>
      </c>
      <c r="H47" s="21">
        <v>1900</v>
      </c>
      <c r="I47" s="21">
        <v>2300</v>
      </c>
      <c r="J47" s="7">
        <v>2040</v>
      </c>
      <c r="K47" s="7">
        <v>2760</v>
      </c>
    </row>
    <row r="48" spans="1:12" ht="15.6" x14ac:dyDescent="0.3">
      <c r="A48" s="22" t="s">
        <v>34</v>
      </c>
      <c r="B48" s="20">
        <v>2900</v>
      </c>
      <c r="C48" s="74">
        <v>2580</v>
      </c>
      <c r="D48" s="21">
        <v>2400</v>
      </c>
      <c r="E48" s="21">
        <v>2030</v>
      </c>
      <c r="F48" s="21">
        <v>1750</v>
      </c>
      <c r="G48" s="21">
        <v>2170</v>
      </c>
      <c r="H48" s="21">
        <v>1710</v>
      </c>
      <c r="I48" s="21">
        <v>2055</v>
      </c>
      <c r="J48" s="7">
        <v>1880</v>
      </c>
      <c r="K48" s="7">
        <v>2255</v>
      </c>
    </row>
    <row r="49" spans="1:11" ht="15.6" x14ac:dyDescent="0.3">
      <c r="A49" s="13"/>
      <c r="B49" s="15"/>
      <c r="C49" s="15"/>
      <c r="D49" s="15"/>
      <c r="E49" s="15"/>
      <c r="F49" s="15"/>
      <c r="G49" s="15"/>
      <c r="H49" s="15"/>
      <c r="I49" s="15"/>
      <c r="J49" s="15"/>
      <c r="K49" s="15"/>
    </row>
    <row r="50" spans="1:11" ht="15.6" x14ac:dyDescent="0.3">
      <c r="A50" s="87" t="s">
        <v>38</v>
      </c>
      <c r="B50" s="87"/>
      <c r="C50" s="87"/>
      <c r="D50" s="87"/>
      <c r="E50" s="87"/>
      <c r="F50" s="87"/>
      <c r="G50" s="87"/>
      <c r="H50" s="87"/>
    </row>
    <row r="51" spans="1:11" ht="15.6" x14ac:dyDescent="0.3">
      <c r="A51" s="11" t="s">
        <v>11</v>
      </c>
      <c r="B51" s="12">
        <v>1</v>
      </c>
      <c r="C51" s="12">
        <v>2</v>
      </c>
      <c r="D51" s="12">
        <v>3</v>
      </c>
      <c r="E51" s="12">
        <v>4</v>
      </c>
      <c r="F51" s="12">
        <v>5</v>
      </c>
      <c r="G51" s="12">
        <v>6</v>
      </c>
      <c r="H51" s="12">
        <v>7</v>
      </c>
      <c r="I51" s="12">
        <v>8</v>
      </c>
    </row>
    <row r="52" spans="1:11" ht="15.6" x14ac:dyDescent="0.3">
      <c r="A52" s="11" t="s">
        <v>112</v>
      </c>
      <c r="B52" s="18">
        <f>C23/C18</f>
        <v>3.5474701534963047</v>
      </c>
      <c r="C52" s="18">
        <f>B52*C53</f>
        <v>4.1150653780557134</v>
      </c>
      <c r="D52" s="18">
        <f>B52*D53</f>
        <v>4.7890847072200113</v>
      </c>
      <c r="E52" s="18">
        <f>B52*E53</f>
        <v>5.5695281409891981</v>
      </c>
      <c r="F52" s="18">
        <f>B52*F53</f>
        <v>6.1371233655486073</v>
      </c>
      <c r="G52" s="18">
        <f>B52*G53</f>
        <v>6.7401932916429788</v>
      </c>
      <c r="H52" s="18">
        <f>B52*H53</f>
        <v>7.2013644115974982</v>
      </c>
      <c r="I52" s="18">
        <f>B52*I53</f>
        <v>7.6980102330869808</v>
      </c>
    </row>
    <row r="53" spans="1:11" ht="15.6" x14ac:dyDescent="0.3">
      <c r="A53" s="11" t="s">
        <v>12</v>
      </c>
      <c r="B53" s="41">
        <v>1</v>
      </c>
      <c r="C53" s="42">
        <v>1.1599999999999999</v>
      </c>
      <c r="D53" s="42">
        <v>1.35</v>
      </c>
      <c r="E53" s="42">
        <v>1.57</v>
      </c>
      <c r="F53" s="42">
        <v>1.73</v>
      </c>
      <c r="G53" s="42">
        <v>1.9</v>
      </c>
      <c r="H53" s="42">
        <v>2.0299999999999998</v>
      </c>
      <c r="I53" s="42">
        <v>2.17</v>
      </c>
    </row>
    <row r="54" spans="1:11" ht="11.85" customHeight="1" x14ac:dyDescent="0.3">
      <c r="A54" s="43"/>
      <c r="B54" s="45"/>
      <c r="C54" s="46"/>
      <c r="D54" s="46"/>
      <c r="E54" s="46"/>
      <c r="F54" s="46"/>
      <c r="G54" s="46"/>
      <c r="H54" s="46"/>
      <c r="I54" s="46"/>
    </row>
    <row r="55" spans="1:11" ht="15.6" x14ac:dyDescent="0.3">
      <c r="A55" s="78" t="s">
        <v>39</v>
      </c>
      <c r="B55" s="78"/>
      <c r="C55" s="78"/>
      <c r="D55" s="78"/>
      <c r="E55" s="78"/>
      <c r="F55" s="78"/>
      <c r="G55" s="78"/>
      <c r="H55" s="78"/>
      <c r="I55" s="78"/>
    </row>
    <row r="56" spans="1:11" ht="32.85" customHeight="1" x14ac:dyDescent="0.3">
      <c r="A56" s="79" t="s">
        <v>13</v>
      </c>
      <c r="B56" s="79" t="s">
        <v>14</v>
      </c>
      <c r="C56" s="79"/>
      <c r="D56" s="79"/>
      <c r="E56" s="79"/>
      <c r="F56" s="79" t="s">
        <v>15</v>
      </c>
      <c r="G56" s="79"/>
      <c r="H56" s="27"/>
      <c r="I56" s="27"/>
    </row>
    <row r="57" spans="1:11" ht="36.6" customHeight="1" x14ac:dyDescent="0.3">
      <c r="A57" s="79"/>
      <c r="B57" s="80" t="s">
        <v>16</v>
      </c>
      <c r="C57" s="79" t="s">
        <v>67</v>
      </c>
      <c r="D57" s="79"/>
      <c r="E57" s="80" t="s">
        <v>17</v>
      </c>
      <c r="F57" s="79" t="s">
        <v>56</v>
      </c>
      <c r="G57" s="79" t="s">
        <v>18</v>
      </c>
      <c r="H57" s="27"/>
      <c r="I57" s="27"/>
    </row>
    <row r="58" spans="1:11" ht="48.9" customHeight="1" x14ac:dyDescent="0.3">
      <c r="A58" s="79"/>
      <c r="B58" s="80"/>
      <c r="C58" s="44" t="s">
        <v>19</v>
      </c>
      <c r="D58" s="44" t="s">
        <v>20</v>
      </c>
      <c r="E58" s="80"/>
      <c r="F58" s="79"/>
      <c r="G58" s="79"/>
      <c r="H58" s="27"/>
      <c r="I58" s="27"/>
    </row>
    <row r="59" spans="1:11" x14ac:dyDescent="0.3">
      <c r="A59" s="31" t="s">
        <v>21</v>
      </c>
      <c r="B59" s="31"/>
      <c r="C59" s="31"/>
      <c r="D59" s="31"/>
      <c r="E59" s="31"/>
      <c r="F59" s="31"/>
      <c r="G59" s="31"/>
      <c r="H59" s="27"/>
      <c r="I59" s="27"/>
    </row>
    <row r="60" spans="1:11" x14ac:dyDescent="0.3">
      <c r="A60" s="10" t="s">
        <v>35</v>
      </c>
      <c r="B60" s="32">
        <f>C35</f>
        <v>7</v>
      </c>
      <c r="C60" s="32">
        <f>C28</f>
        <v>2</v>
      </c>
      <c r="D60" s="33">
        <f>C60*C25</f>
        <v>6</v>
      </c>
      <c r="E60" s="32">
        <f>ROUND(D60*C8/C14,0)</f>
        <v>7</v>
      </c>
      <c r="F60" s="32">
        <f>C17*E60</f>
        <v>12313</v>
      </c>
      <c r="G60" s="32">
        <f>F60*H52</f>
        <v>88670.399999999994</v>
      </c>
      <c r="H60" s="28"/>
      <c r="I60" s="28"/>
    </row>
    <row r="61" spans="1:11" x14ac:dyDescent="0.3">
      <c r="A61" s="10" t="s">
        <v>22</v>
      </c>
      <c r="B61" s="32">
        <f>C36</f>
        <v>3</v>
      </c>
      <c r="C61" s="32">
        <f>C29</f>
        <v>4</v>
      </c>
      <c r="D61" s="33">
        <f>C61*C25</f>
        <v>12</v>
      </c>
      <c r="E61" s="32">
        <f>ROUND(D61*C8/C14,0)</f>
        <v>14</v>
      </c>
      <c r="F61" s="32">
        <f>C17*E61</f>
        <v>24626</v>
      </c>
      <c r="G61" s="32">
        <f>F61*D52</f>
        <v>117936</v>
      </c>
      <c r="H61" s="28"/>
      <c r="I61" s="28"/>
    </row>
    <row r="62" spans="1:11" x14ac:dyDescent="0.3">
      <c r="A62" s="30" t="s">
        <v>23</v>
      </c>
      <c r="B62" s="29"/>
      <c r="C62" s="37">
        <f>SUM(C60:C61)</f>
        <v>6</v>
      </c>
      <c r="D62" s="37">
        <f>SUM(D60:D61)</f>
        <v>18</v>
      </c>
      <c r="E62" s="37">
        <f>SUM(E60:E61)</f>
        <v>21</v>
      </c>
      <c r="F62" s="37">
        <f>SUM(F60:F61)</f>
        <v>36939</v>
      </c>
      <c r="G62" s="37">
        <f>SUM(G60:G61)</f>
        <v>206606.4</v>
      </c>
      <c r="H62" s="28"/>
      <c r="I62" s="28"/>
    </row>
    <row r="63" spans="1:11" x14ac:dyDescent="0.3">
      <c r="A63" s="31" t="s">
        <v>24</v>
      </c>
      <c r="B63" s="31"/>
      <c r="C63" s="31"/>
      <c r="D63" s="29"/>
      <c r="E63" s="39"/>
      <c r="F63" s="39"/>
      <c r="G63" s="35"/>
      <c r="H63" s="27"/>
      <c r="I63" s="27"/>
    </row>
    <row r="64" spans="1:11" x14ac:dyDescent="0.3">
      <c r="A64" s="30" t="s">
        <v>43</v>
      </c>
      <c r="B64" s="32">
        <f>C37</f>
        <v>5</v>
      </c>
      <c r="C64" s="32">
        <f>C30</f>
        <v>1</v>
      </c>
      <c r="D64" s="33">
        <v>3</v>
      </c>
      <c r="E64" s="32">
        <f>ROUND(D64*C8/C14,0)</f>
        <v>3</v>
      </c>
      <c r="F64" s="32">
        <f>C17*E64</f>
        <v>5277</v>
      </c>
      <c r="G64" s="36">
        <f>F64*F52</f>
        <v>32385.600000000002</v>
      </c>
      <c r="H64" s="28"/>
      <c r="I64" s="34"/>
    </row>
    <row r="65" spans="1:9" x14ac:dyDescent="0.3">
      <c r="A65" s="30" t="s">
        <v>44</v>
      </c>
      <c r="B65" s="32">
        <f>C38</f>
        <v>6</v>
      </c>
      <c r="C65" s="32">
        <f>C31</f>
        <v>2</v>
      </c>
      <c r="D65" s="33">
        <v>6</v>
      </c>
      <c r="E65" s="32">
        <f>ROUND(D65*C8/C14,0)</f>
        <v>7</v>
      </c>
      <c r="F65" s="32">
        <f>C17*E65</f>
        <v>12313</v>
      </c>
      <c r="G65" s="36">
        <f>F65*G52</f>
        <v>82992</v>
      </c>
      <c r="H65" s="28"/>
      <c r="I65" s="28"/>
    </row>
    <row r="66" spans="1:9" x14ac:dyDescent="0.3">
      <c r="A66" s="30" t="s">
        <v>23</v>
      </c>
      <c r="B66" s="39"/>
      <c r="C66" s="38">
        <f>SUM(C64:C65)</f>
        <v>3</v>
      </c>
      <c r="D66" s="38">
        <f>SUM(D64:D65)</f>
        <v>9</v>
      </c>
      <c r="E66" s="38">
        <f>SUM(E64:E65)</f>
        <v>10</v>
      </c>
      <c r="F66" s="38">
        <f>SUM(F64:F65)</f>
        <v>17590</v>
      </c>
      <c r="G66" s="38">
        <f>SUM(G64:G65)</f>
        <v>115377.60000000001</v>
      </c>
      <c r="H66" s="28"/>
      <c r="I66" s="28"/>
    </row>
    <row r="67" spans="1:9" x14ac:dyDescent="0.3">
      <c r="A67" s="31" t="s">
        <v>25</v>
      </c>
      <c r="B67" s="31"/>
      <c r="C67" s="31"/>
      <c r="D67" s="29"/>
      <c r="E67" s="39"/>
      <c r="F67" s="39"/>
      <c r="G67" s="35"/>
      <c r="H67" s="27"/>
      <c r="I67" s="27"/>
    </row>
    <row r="68" spans="1:9" x14ac:dyDescent="0.3">
      <c r="A68" s="30" t="s">
        <v>45</v>
      </c>
      <c r="B68" s="32">
        <f>C39</f>
        <v>2</v>
      </c>
      <c r="C68" s="32">
        <f>C32</f>
        <v>2</v>
      </c>
      <c r="D68" s="33">
        <f>C68*C25</f>
        <v>6</v>
      </c>
      <c r="E68" s="32">
        <f>ROUND(D68*C8/C14,0)</f>
        <v>7</v>
      </c>
      <c r="F68" s="32">
        <f>C17*E68</f>
        <v>12313</v>
      </c>
      <c r="G68" s="36">
        <f>F68*C52</f>
        <v>50668.799999999996</v>
      </c>
      <c r="H68" s="28"/>
      <c r="I68" s="28"/>
    </row>
    <row r="69" spans="1:9" x14ac:dyDescent="0.3">
      <c r="A69" s="30" t="s">
        <v>46</v>
      </c>
      <c r="B69" s="32">
        <f>C40</f>
        <v>2</v>
      </c>
      <c r="C69" s="32">
        <f>C33</f>
        <v>1</v>
      </c>
      <c r="D69" s="33">
        <f>C69*C25</f>
        <v>3</v>
      </c>
      <c r="E69" s="32">
        <f>ROUND(D69*C8/C14,0)</f>
        <v>3</v>
      </c>
      <c r="F69" s="32">
        <f>C17*E69</f>
        <v>5277</v>
      </c>
      <c r="G69" s="36">
        <f>F69*C52</f>
        <v>21715.200000000001</v>
      </c>
      <c r="H69" s="28"/>
      <c r="I69" s="28"/>
    </row>
    <row r="70" spans="1:9" x14ac:dyDescent="0.3">
      <c r="A70" s="30" t="s">
        <v>23</v>
      </c>
      <c r="B70" s="29"/>
      <c r="C70" s="37">
        <f>SUM(C68:C69)</f>
        <v>3</v>
      </c>
      <c r="D70" s="37">
        <f>SUM(D68:D69)</f>
        <v>9</v>
      </c>
      <c r="E70" s="37">
        <f>SUM(E68:E69)</f>
        <v>10</v>
      </c>
      <c r="F70" s="37">
        <f>SUM(F68:F69)</f>
        <v>17590</v>
      </c>
      <c r="G70" s="38">
        <f>SUM(G68:G69)</f>
        <v>72384</v>
      </c>
      <c r="H70" s="28"/>
      <c r="I70" s="28"/>
    </row>
    <row r="71" spans="1:9" x14ac:dyDescent="0.3">
      <c r="A71" s="30" t="s">
        <v>47</v>
      </c>
      <c r="B71" s="29"/>
      <c r="C71" s="40">
        <f>SUM(C62,C66,C70)</f>
        <v>12</v>
      </c>
      <c r="D71" s="40">
        <f>SUM(D62,D66,D70)</f>
        <v>36</v>
      </c>
      <c r="E71" s="40">
        <f>SUM(E62,E66,E70)</f>
        <v>41</v>
      </c>
      <c r="F71" s="40">
        <f>SUM(F62,F66,F70)</f>
        <v>72119</v>
      </c>
      <c r="G71" s="40">
        <f>SUM(G62,G66,G70)</f>
        <v>394368</v>
      </c>
      <c r="H71" s="28"/>
      <c r="I71" s="28"/>
    </row>
    <row r="73" spans="1:9" ht="15.6" x14ac:dyDescent="0.3">
      <c r="A73" s="88" t="s">
        <v>60</v>
      </c>
      <c r="B73" s="88"/>
      <c r="C73" s="88"/>
      <c r="D73" s="88"/>
    </row>
    <row r="74" spans="1:9" ht="14.7" customHeight="1" x14ac:dyDescent="0.3">
      <c r="A74" s="79" t="s">
        <v>59</v>
      </c>
      <c r="B74" s="84" t="s">
        <v>27</v>
      </c>
      <c r="C74" s="85"/>
      <c r="D74" s="86"/>
      <c r="E74" s="27"/>
      <c r="F74" s="27"/>
    </row>
    <row r="75" spans="1:9" ht="48.45" customHeight="1" x14ac:dyDescent="0.3">
      <c r="A75" s="79"/>
      <c r="B75" s="4" t="s">
        <v>58</v>
      </c>
      <c r="C75" s="4" t="s">
        <v>28</v>
      </c>
      <c r="D75" s="4" t="s">
        <v>29</v>
      </c>
      <c r="E75" s="28"/>
      <c r="F75" s="2"/>
    </row>
    <row r="76" spans="1:9" ht="18" x14ac:dyDescent="0.3">
      <c r="A76" s="3" t="s">
        <v>88</v>
      </c>
      <c r="B76" s="8">
        <f>G62</f>
        <v>206606.4</v>
      </c>
      <c r="C76" s="8">
        <f>G66</f>
        <v>115377.60000000001</v>
      </c>
      <c r="D76" s="8">
        <f>G70</f>
        <v>72384</v>
      </c>
      <c r="E76" s="28"/>
      <c r="F76" s="2"/>
    </row>
    <row r="77" spans="1:9" ht="14.7" customHeight="1" x14ac:dyDescent="0.3">
      <c r="A77" s="3" t="s">
        <v>89</v>
      </c>
      <c r="B77" s="8">
        <f>B76*C24/100</f>
        <v>113633.52</v>
      </c>
      <c r="C77" s="8">
        <f>C76*B24/100</f>
        <v>57688.800000000003</v>
      </c>
      <c r="D77" s="8">
        <f>D76*C24/100</f>
        <v>39811.199999999997</v>
      </c>
      <c r="E77" s="28"/>
      <c r="F77" s="2"/>
    </row>
    <row r="78" spans="1:9" ht="15.6" x14ac:dyDescent="0.3">
      <c r="A78" s="3" t="s">
        <v>90</v>
      </c>
      <c r="B78" s="8">
        <f>B76/3*20/100</f>
        <v>13773.76</v>
      </c>
      <c r="C78" s="8">
        <f t="shared" ref="C78:D78" si="0">C76/3*20/100</f>
        <v>7691.8400000000011</v>
      </c>
      <c r="D78" s="8">
        <f t="shared" si="0"/>
        <v>4825.6000000000004</v>
      </c>
      <c r="E78" s="90"/>
      <c r="F78" s="91"/>
    </row>
    <row r="79" spans="1:9" ht="15.6" x14ac:dyDescent="0.3">
      <c r="A79" s="3" t="s">
        <v>91</v>
      </c>
      <c r="B79" s="8">
        <f>B76/3*40/100</f>
        <v>27547.52</v>
      </c>
      <c r="C79" s="8">
        <f>C76/3*(40/100)</f>
        <v>15383.680000000002</v>
      </c>
      <c r="D79" s="8">
        <f>D76/3*(40/100)</f>
        <v>9651.2000000000007</v>
      </c>
      <c r="E79" s="90"/>
      <c r="F79" s="91"/>
    </row>
    <row r="80" spans="1:9" ht="17.25" customHeight="1" x14ac:dyDescent="0.3">
      <c r="A80" s="3" t="s">
        <v>94</v>
      </c>
      <c r="B80" s="49">
        <f>SUM(B76:B79)</f>
        <v>361561.2</v>
      </c>
      <c r="C80" s="49">
        <f t="shared" ref="C80:D80" si="1">SUM(C76:C79)</f>
        <v>196141.92</v>
      </c>
      <c r="D80" s="49">
        <f t="shared" si="1"/>
        <v>126672</v>
      </c>
      <c r="E80" s="28"/>
      <c r="F80" s="2"/>
    </row>
    <row r="81" spans="1:7" ht="17.25" customHeight="1" x14ac:dyDescent="0.3">
      <c r="A81" s="3" t="s">
        <v>92</v>
      </c>
      <c r="B81" s="52">
        <f>(C9-(C11+C12))/C14*100</f>
        <v>13.122171945701359</v>
      </c>
      <c r="C81" s="52">
        <f>(C9-(C11+C12))/C14*100</f>
        <v>13.122171945701359</v>
      </c>
      <c r="D81" s="52">
        <f>(C9-(C11+C12))/C14*100</f>
        <v>13.122171945701359</v>
      </c>
      <c r="E81" s="28"/>
      <c r="F81" s="2"/>
    </row>
    <row r="82" spans="1:7" ht="16.2" customHeight="1" x14ac:dyDescent="0.3">
      <c r="A82" s="3" t="s">
        <v>93</v>
      </c>
      <c r="B82" s="49">
        <f>B80*B81/100</f>
        <v>47444.682352941185</v>
      </c>
      <c r="C82" s="49">
        <f>C80*C81/100</f>
        <v>25738.080000000005</v>
      </c>
      <c r="D82" s="49">
        <f>D80*D81/100</f>
        <v>16622.117647058825</v>
      </c>
      <c r="E82" s="28"/>
      <c r="F82" s="2"/>
    </row>
    <row r="83" spans="1:7" ht="15.6" x14ac:dyDescent="0.3">
      <c r="A83" s="48" t="s">
        <v>95</v>
      </c>
      <c r="B83" s="67">
        <f>SUM(B80,B82)</f>
        <v>409005.8823529412</v>
      </c>
      <c r="C83" s="67">
        <f t="shared" ref="C83:D83" si="2">SUM(C80,C82)</f>
        <v>221880.00000000003</v>
      </c>
      <c r="D83" s="67">
        <f t="shared" si="2"/>
        <v>143294.11764705883</v>
      </c>
      <c r="E83" s="27"/>
      <c r="F83" s="27"/>
    </row>
    <row r="85" spans="1:7" ht="15.6" x14ac:dyDescent="0.3">
      <c r="A85" s="78" t="s">
        <v>61</v>
      </c>
      <c r="B85" s="78"/>
      <c r="C85" s="78"/>
      <c r="D85" s="78"/>
      <c r="E85" s="78"/>
      <c r="F85" s="78"/>
      <c r="G85" s="78"/>
    </row>
    <row r="86" spans="1:7" ht="26.85" customHeight="1" x14ac:dyDescent="0.3">
      <c r="A86" s="4" t="s">
        <v>64</v>
      </c>
      <c r="B86" s="80" t="s">
        <v>30</v>
      </c>
      <c r="C86" s="79" t="s">
        <v>63</v>
      </c>
      <c r="D86" s="84" t="s">
        <v>27</v>
      </c>
      <c r="E86" s="85"/>
      <c r="F86" s="85"/>
      <c r="G86" s="86"/>
    </row>
    <row r="87" spans="1:7" ht="53.7" customHeight="1" x14ac:dyDescent="0.3">
      <c r="A87" s="4"/>
      <c r="B87" s="80"/>
      <c r="C87" s="79"/>
      <c r="D87" s="4" t="s">
        <v>62</v>
      </c>
      <c r="E87" s="4" t="s">
        <v>101</v>
      </c>
      <c r="F87" s="4" t="s">
        <v>100</v>
      </c>
      <c r="G87" s="4" t="s">
        <v>31</v>
      </c>
    </row>
    <row r="88" spans="1:7" ht="15.6" x14ac:dyDescent="0.3">
      <c r="A88" s="51" t="s">
        <v>32</v>
      </c>
      <c r="B88" s="8">
        <f>C42</f>
        <v>2</v>
      </c>
      <c r="C88" s="8">
        <f>C46</f>
        <v>3100</v>
      </c>
      <c r="D88" s="6">
        <f>C88*12*B88</f>
        <v>74400</v>
      </c>
      <c r="E88" s="8">
        <f>D88*C24/100</f>
        <v>40920</v>
      </c>
      <c r="F88" s="8">
        <f>B81*D88/100</f>
        <v>9762.8959276018104</v>
      </c>
      <c r="G88" s="8">
        <f>SUM(D88:F88)</f>
        <v>125082.89592760181</v>
      </c>
    </row>
    <row r="89" spans="1:7" ht="15.6" x14ac:dyDescent="0.3">
      <c r="A89" s="3" t="s">
        <v>33</v>
      </c>
      <c r="B89" s="8">
        <f t="shared" ref="B89:B90" si="3">C43</f>
        <v>2</v>
      </c>
      <c r="C89" s="8">
        <f t="shared" ref="C89:C90" si="4">C47</f>
        <v>2800</v>
      </c>
      <c r="D89" s="6">
        <f>C89*12*B89</f>
        <v>67200</v>
      </c>
      <c r="E89" s="8">
        <f>D89*C24/100</f>
        <v>36960</v>
      </c>
      <c r="F89" s="8">
        <f>B81*D89/100</f>
        <v>8818.0995475113141</v>
      </c>
      <c r="G89" s="8">
        <f t="shared" ref="G89:G90" si="5">SUM(D89:F89)</f>
        <v>112978.09954751132</v>
      </c>
    </row>
    <row r="90" spans="1:7" ht="15.6" x14ac:dyDescent="0.3">
      <c r="A90" s="3" t="s">
        <v>34</v>
      </c>
      <c r="B90" s="8">
        <f t="shared" si="3"/>
        <v>3</v>
      </c>
      <c r="C90" s="8">
        <f t="shared" si="4"/>
        <v>2580</v>
      </c>
      <c r="D90" s="6">
        <f>C90*12*B90</f>
        <v>92880</v>
      </c>
      <c r="E90" s="8">
        <f>D90*C24/100</f>
        <v>51084</v>
      </c>
      <c r="F90" s="8">
        <f>B81*D90/100</f>
        <v>12187.873303167422</v>
      </c>
      <c r="G90" s="8">
        <f t="shared" si="5"/>
        <v>156151.87330316743</v>
      </c>
    </row>
    <row r="91" spans="1:7" ht="15.6" x14ac:dyDescent="0.3">
      <c r="A91" s="3" t="s">
        <v>26</v>
      </c>
      <c r="B91" s="49">
        <f>SUM(B88:B90)</f>
        <v>7</v>
      </c>
      <c r="C91" s="14"/>
      <c r="D91" s="49">
        <f>SUM(D88:D90)</f>
        <v>234480</v>
      </c>
      <c r="E91" s="49">
        <f>SUM(E88:E90)</f>
        <v>128964</v>
      </c>
      <c r="F91" s="49">
        <f>SUM(F88:F90)</f>
        <v>30768.868778280543</v>
      </c>
      <c r="G91" s="49">
        <f>SUM(G88:G90)</f>
        <v>394212.86877828056</v>
      </c>
    </row>
    <row r="93" spans="1:7" ht="15.6" x14ac:dyDescent="0.3">
      <c r="A93" s="53" t="s">
        <v>68</v>
      </c>
    </row>
    <row r="94" spans="1:7" ht="15.6" x14ac:dyDescent="0.3">
      <c r="A94" s="3" t="s">
        <v>69</v>
      </c>
      <c r="B94" s="5" t="s">
        <v>1</v>
      </c>
    </row>
    <row r="95" spans="1:7" ht="15.6" x14ac:dyDescent="0.3">
      <c r="A95" s="3" t="s">
        <v>71</v>
      </c>
      <c r="B95" s="54">
        <f>SUM(G91,B83,C83,D83)</f>
        <v>1168392.8687782807</v>
      </c>
    </row>
    <row r="96" spans="1:7" ht="15.6" x14ac:dyDescent="0.3">
      <c r="A96" s="3" t="s">
        <v>72</v>
      </c>
      <c r="B96" s="54">
        <f>SUM(B91,E71)</f>
        <v>48</v>
      </c>
    </row>
    <row r="97" spans="1:2" ht="15.6" x14ac:dyDescent="0.3">
      <c r="A97" s="3" t="s">
        <v>73</v>
      </c>
      <c r="B97" s="55">
        <f>B95/B96</f>
        <v>24341.518099547513</v>
      </c>
    </row>
    <row r="98" spans="1:2" ht="15.6" x14ac:dyDescent="0.3">
      <c r="A98" s="3" t="s">
        <v>74</v>
      </c>
      <c r="B98" s="55">
        <f>B97/12</f>
        <v>2028.4598416289593</v>
      </c>
    </row>
    <row r="99" spans="1:2" ht="19.95" customHeight="1" x14ac:dyDescent="0.3">
      <c r="A99" s="3" t="s">
        <v>75</v>
      </c>
      <c r="B99" s="55">
        <f>C26/B96</f>
        <v>332.5</v>
      </c>
    </row>
    <row r="100" spans="1:2" ht="29.7" customHeight="1" x14ac:dyDescent="0.3">
      <c r="A100" s="3" t="s">
        <v>109</v>
      </c>
      <c r="B100" s="55">
        <f>B101*8</f>
        <v>1.5122228538942581</v>
      </c>
    </row>
    <row r="101" spans="1:2" ht="31.2" x14ac:dyDescent="0.3">
      <c r="A101" s="3" t="s">
        <v>76</v>
      </c>
      <c r="B101" s="55">
        <f>B99/C17</f>
        <v>0.18902785673678227</v>
      </c>
    </row>
    <row r="118" spans="1:9" x14ac:dyDescent="0.3">
      <c r="A118" s="89" t="s">
        <v>111</v>
      </c>
      <c r="B118" s="89"/>
      <c r="C118" s="89"/>
      <c r="D118" s="89"/>
      <c r="E118" s="89"/>
      <c r="F118" s="89"/>
      <c r="G118" s="89"/>
      <c r="H118" s="89"/>
      <c r="I118" s="89"/>
    </row>
    <row r="119" spans="1:9" x14ac:dyDescent="0.3">
      <c r="A119" s="89"/>
      <c r="B119" s="89"/>
      <c r="C119" s="89"/>
      <c r="D119" s="89"/>
      <c r="E119" s="89"/>
      <c r="F119" s="89"/>
      <c r="G119" s="89"/>
      <c r="H119" s="89"/>
      <c r="I119" s="89"/>
    </row>
    <row r="120" spans="1:9" x14ac:dyDescent="0.3">
      <c r="A120" s="89"/>
      <c r="B120" s="89"/>
      <c r="C120" s="89"/>
      <c r="D120" s="89"/>
      <c r="E120" s="89"/>
      <c r="F120" s="89"/>
      <c r="G120" s="89"/>
      <c r="H120" s="89"/>
      <c r="I120" s="89"/>
    </row>
    <row r="121" spans="1:9" x14ac:dyDescent="0.3">
      <c r="A121" s="89"/>
      <c r="B121" s="89"/>
      <c r="C121" s="89"/>
      <c r="D121" s="89"/>
      <c r="E121" s="89"/>
      <c r="F121" s="89"/>
      <c r="G121" s="89"/>
      <c r="H121" s="89"/>
      <c r="I121" s="89"/>
    </row>
    <row r="122" spans="1:9" x14ac:dyDescent="0.3">
      <c r="A122" s="89"/>
      <c r="B122" s="89"/>
      <c r="C122" s="89"/>
      <c r="D122" s="89"/>
      <c r="E122" s="89"/>
      <c r="F122" s="89"/>
      <c r="G122" s="89"/>
      <c r="H122" s="89"/>
      <c r="I122" s="89"/>
    </row>
    <row r="123" spans="1:9" x14ac:dyDescent="0.3">
      <c r="A123" s="89"/>
      <c r="B123" s="89"/>
      <c r="C123" s="89"/>
      <c r="D123" s="89"/>
      <c r="E123" s="89"/>
      <c r="F123" s="89"/>
      <c r="G123" s="89"/>
      <c r="H123" s="89"/>
      <c r="I123" s="89"/>
    </row>
    <row r="124" spans="1:9" x14ac:dyDescent="0.3">
      <c r="A124" s="89"/>
      <c r="B124" s="89"/>
      <c r="C124" s="89"/>
      <c r="D124" s="89"/>
      <c r="E124" s="89"/>
      <c r="F124" s="89"/>
      <c r="G124" s="89"/>
      <c r="H124" s="89"/>
      <c r="I124" s="89"/>
    </row>
    <row r="125" spans="1:9" x14ac:dyDescent="0.3">
      <c r="A125" s="89"/>
      <c r="B125" s="89"/>
      <c r="C125" s="89"/>
      <c r="D125" s="89"/>
      <c r="E125" s="89"/>
      <c r="F125" s="89"/>
      <c r="G125" s="89"/>
      <c r="H125" s="89"/>
      <c r="I125" s="89"/>
    </row>
    <row r="126" spans="1:9" x14ac:dyDescent="0.3">
      <c r="A126" s="89"/>
      <c r="B126" s="89"/>
      <c r="C126" s="89"/>
      <c r="D126" s="89"/>
      <c r="E126" s="89"/>
      <c r="F126" s="89"/>
      <c r="G126" s="89"/>
      <c r="H126" s="89"/>
      <c r="I126" s="89"/>
    </row>
    <row r="127" spans="1:9" x14ac:dyDescent="0.3">
      <c r="A127" s="89"/>
      <c r="B127" s="89"/>
      <c r="C127" s="89"/>
      <c r="D127" s="89"/>
      <c r="E127" s="89"/>
      <c r="F127" s="89"/>
      <c r="G127" s="89"/>
      <c r="H127" s="89"/>
      <c r="I127" s="89"/>
    </row>
    <row r="128" spans="1:9" x14ac:dyDescent="0.3">
      <c r="A128" s="89"/>
      <c r="B128" s="89"/>
      <c r="C128" s="89"/>
      <c r="D128" s="89"/>
      <c r="E128" s="89"/>
      <c r="F128" s="89"/>
      <c r="G128" s="89"/>
      <c r="H128" s="89"/>
      <c r="I128" s="89"/>
    </row>
    <row r="129" spans="1:9" x14ac:dyDescent="0.3">
      <c r="A129" s="89"/>
      <c r="B129" s="89"/>
      <c r="C129" s="89"/>
      <c r="D129" s="89"/>
      <c r="E129" s="89"/>
      <c r="F129" s="89"/>
      <c r="G129" s="89"/>
      <c r="H129" s="89"/>
      <c r="I129" s="89"/>
    </row>
    <row r="130" spans="1:9" x14ac:dyDescent="0.3">
      <c r="A130" s="89"/>
      <c r="B130" s="89"/>
      <c r="C130" s="89"/>
      <c r="D130" s="89"/>
      <c r="E130" s="89"/>
      <c r="F130" s="89"/>
      <c r="G130" s="89"/>
      <c r="H130" s="89"/>
      <c r="I130" s="89"/>
    </row>
  </sheetData>
  <mergeCells count="24">
    <mergeCell ref="A118:I130"/>
    <mergeCell ref="B86:B87"/>
    <mergeCell ref="C86:C87"/>
    <mergeCell ref="E78:E79"/>
    <mergeCell ref="F78:F79"/>
    <mergeCell ref="A74:A75"/>
    <mergeCell ref="D86:G86"/>
    <mergeCell ref="B74:D74"/>
    <mergeCell ref="A73:D73"/>
    <mergeCell ref="A85:G85"/>
    <mergeCell ref="A3:K3"/>
    <mergeCell ref="B4:K4"/>
    <mergeCell ref="A50:H50"/>
    <mergeCell ref="A20:H20"/>
    <mergeCell ref="B21:K21"/>
    <mergeCell ref="A55:I55"/>
    <mergeCell ref="B56:E56"/>
    <mergeCell ref="F56:G56"/>
    <mergeCell ref="A56:A58"/>
    <mergeCell ref="B57:B58"/>
    <mergeCell ref="C57:D57"/>
    <mergeCell ref="E57:E58"/>
    <mergeCell ref="F57:F58"/>
    <mergeCell ref="G57:G58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4"/>
  <sheetViews>
    <sheetView topLeftCell="A22" workbookViewId="0">
      <selection activeCell="A34" sqref="A34"/>
    </sheetView>
  </sheetViews>
  <sheetFormatPr defaultRowHeight="14.4" x14ac:dyDescent="0.3"/>
  <cols>
    <col min="1" max="1" width="110.33203125" customWidth="1"/>
  </cols>
  <sheetData>
    <row r="1" spans="1:1" ht="18" x14ac:dyDescent="0.3">
      <c r="A1" s="58" t="s">
        <v>79</v>
      </c>
    </row>
    <row r="2" spans="1:1" ht="18" x14ac:dyDescent="0.3">
      <c r="A2" s="63" t="s">
        <v>80</v>
      </c>
    </row>
    <row r="3" spans="1:1" ht="62.4" x14ac:dyDescent="0.3">
      <c r="A3" s="59" t="s">
        <v>81</v>
      </c>
    </row>
    <row r="4" spans="1:1" ht="15.6" x14ac:dyDescent="0.3">
      <c r="A4" s="60"/>
    </row>
    <row r="5" spans="1:1" ht="62.4" x14ac:dyDescent="0.3">
      <c r="A5" s="61" t="s">
        <v>83</v>
      </c>
    </row>
    <row r="6" spans="1:1" ht="15.6" x14ac:dyDescent="0.3">
      <c r="A6" s="60"/>
    </row>
    <row r="7" spans="1:1" ht="15.6" x14ac:dyDescent="0.3">
      <c r="A7" s="64" t="s">
        <v>84</v>
      </c>
    </row>
    <row r="8" spans="1:1" ht="15.6" x14ac:dyDescent="0.3">
      <c r="A8" s="60"/>
    </row>
    <row r="9" spans="1:1" ht="31.2" x14ac:dyDescent="0.3">
      <c r="A9" s="65" t="s">
        <v>85</v>
      </c>
    </row>
    <row r="10" spans="1:1" ht="15.6" x14ac:dyDescent="0.3">
      <c r="A10" s="60" t="s">
        <v>107</v>
      </c>
    </row>
    <row r="11" spans="1:1" ht="31.2" x14ac:dyDescent="0.3">
      <c r="A11" s="59" t="s">
        <v>86</v>
      </c>
    </row>
    <row r="12" spans="1:1" ht="15.6" x14ac:dyDescent="0.3">
      <c r="A12" s="60"/>
    </row>
    <row r="13" spans="1:1" ht="124.8" x14ac:dyDescent="0.3">
      <c r="A13" s="66" t="s">
        <v>87</v>
      </c>
    </row>
    <row r="14" spans="1:1" ht="67.2" x14ac:dyDescent="0.3">
      <c r="A14" s="69" t="s">
        <v>98</v>
      </c>
    </row>
    <row r="15" spans="1:1" ht="18" x14ac:dyDescent="0.3">
      <c r="A15" s="47" t="s">
        <v>108</v>
      </c>
    </row>
    <row r="16" spans="1:1" ht="109.2" x14ac:dyDescent="0.3">
      <c r="A16" s="68" t="s">
        <v>99</v>
      </c>
    </row>
    <row r="17" spans="1:1" ht="15.6" x14ac:dyDescent="0.3">
      <c r="A17" s="47" t="s">
        <v>96</v>
      </c>
    </row>
    <row r="18" spans="1:1" ht="15.6" x14ac:dyDescent="0.3">
      <c r="A18" s="47" t="s">
        <v>97</v>
      </c>
    </row>
    <row r="19" spans="1:1" ht="78" x14ac:dyDescent="0.3">
      <c r="A19" s="70" t="s">
        <v>105</v>
      </c>
    </row>
    <row r="21" spans="1:1" ht="46.8" x14ac:dyDescent="0.3">
      <c r="A21" s="62" t="s">
        <v>106</v>
      </c>
    </row>
    <row r="22" spans="1:1" ht="18" x14ac:dyDescent="0.4">
      <c r="A22" s="72" t="s">
        <v>102</v>
      </c>
    </row>
    <row r="23" spans="1:1" ht="18" x14ac:dyDescent="0.4">
      <c r="A23" s="72" t="s">
        <v>103</v>
      </c>
    </row>
    <row r="24" spans="1:1" ht="33.6" x14ac:dyDescent="0.3">
      <c r="A24" s="71" t="s">
        <v>104</v>
      </c>
    </row>
    <row r="34" spans="1:1" x14ac:dyDescent="0.3">
      <c r="A34" t="s">
        <v>113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Задание исх данные, решение 1</vt:lpstr>
      <vt:lpstr>Порядок работы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Vi U</cp:lastModifiedBy>
  <dcterms:created xsi:type="dcterms:W3CDTF">2024-02-22T06:33:23Z</dcterms:created>
  <dcterms:modified xsi:type="dcterms:W3CDTF">2026-04-24T09:07:15Z</dcterms:modified>
</cp:coreProperties>
</file>