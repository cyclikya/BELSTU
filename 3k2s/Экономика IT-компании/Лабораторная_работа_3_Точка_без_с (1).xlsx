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gor\Downloads\"/>
    </mc:Choice>
  </mc:AlternateContent>
  <bookViews>
    <workbookView xWindow="0" yWindow="0" windowWidth="23040" windowHeight="9072"/>
  </bookViews>
  <sheets>
    <sheet name="Исх данные решение" sheetId="2" r:id="rId1"/>
    <sheet name="Порядок работы" sheetId="5" r:id="rId2"/>
    <sheet name="График (пример)" sheetId="3" r:id="rId3"/>
  </sheets>
  <calcPr calcId="162913"/>
</workbook>
</file>

<file path=xl/calcChain.xml><?xml version="1.0" encoding="utf-8"?>
<calcChain xmlns="http://schemas.openxmlformats.org/spreadsheetml/2006/main">
  <c r="E46" i="2" l="1"/>
  <c r="E45" i="2"/>
  <c r="G67" i="2"/>
  <c r="F67" i="2"/>
  <c r="E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C39" i="2"/>
  <c r="C38" i="2"/>
  <c r="C37" i="2"/>
  <c r="C36" i="2"/>
  <c r="C35" i="2"/>
  <c r="C34" i="2"/>
  <c r="C27" i="2"/>
  <c r="C28" i="2" s="1"/>
  <c r="C29" i="2" s="1"/>
  <c r="E48" i="2" s="1"/>
  <c r="C22" i="2"/>
  <c r="D67" i="2"/>
  <c r="E49" i="2"/>
  <c r="C30" i="2"/>
  <c r="C26" i="2"/>
  <c r="C25" i="2"/>
  <c r="C24" i="2"/>
  <c r="C23" i="2"/>
  <c r="C31" i="2" l="1"/>
  <c r="C81" i="2"/>
  <c r="C32" i="2" l="1"/>
  <c r="E47" i="2" s="1"/>
  <c r="D76" i="2"/>
  <c r="D77" i="2"/>
  <c r="D78" i="2"/>
  <c r="D74" i="2"/>
  <c r="D75" i="2"/>
  <c r="D79" i="2"/>
  <c r="D68" i="2"/>
  <c r="D80" i="2"/>
  <c r="D69" i="2"/>
  <c r="D81" i="2"/>
  <c r="D70" i="2"/>
  <c r="D71" i="2"/>
  <c r="D72" i="2"/>
  <c r="D73" i="2"/>
  <c r="C69" i="2" l="1"/>
  <c r="H67" i="2" l="1"/>
</calcChain>
</file>

<file path=xl/sharedStrings.xml><?xml version="1.0" encoding="utf-8"?>
<sst xmlns="http://schemas.openxmlformats.org/spreadsheetml/2006/main" count="77" uniqueCount="77">
  <si>
    <t>Показатели</t>
  </si>
  <si>
    <t>Варианты</t>
  </si>
  <si>
    <t>4. Цена 1 КВт*ч, руб.</t>
  </si>
  <si>
    <t>6. Заработная плата административного персонала предприятия, тыс. руб.</t>
  </si>
  <si>
    <t>ИТОГО, руб.</t>
  </si>
  <si>
    <t>Методические указания</t>
  </si>
  <si>
    <t>– рассчитывается отпускная цена Ц, тыс. руб., изделия по формуле</t>
  </si>
  <si>
    <t xml:space="preserve">                                        </t>
  </si>
  <si>
    <r>
      <t>– определя</t>
    </r>
    <r>
      <rPr>
        <sz val="12"/>
        <rFont val="Calibri"/>
        <family val="2"/>
        <charset val="204"/>
      </rPr>
      <t>ется размер прибыли, приходящейся на единицу продукции П</t>
    </r>
    <r>
      <rPr>
        <vertAlign val="subscript"/>
        <sz val="12"/>
        <rFont val="Calibri"/>
        <family val="2"/>
        <charset val="204"/>
      </rPr>
      <t>р</t>
    </r>
    <r>
      <rPr>
        <sz val="12"/>
        <rFont val="Calibri"/>
        <family val="2"/>
        <charset val="204"/>
      </rPr>
      <t>, тыс. руб., по формуле</t>
    </r>
  </si>
  <si>
    <t>ЭЛЕМЕНТЫ ЗАТРАТ</t>
  </si>
  <si>
    <t>3. Отчисления в ФСЗН</t>
  </si>
  <si>
    <t>1. Материальные затраты</t>
  </si>
  <si>
    <t>2. Фонд оплаты труда работников</t>
  </si>
  <si>
    <t>4. Амортизационные отчисления</t>
  </si>
  <si>
    <t>5. Прочие</t>
  </si>
  <si>
    <t>ИТОГО</t>
  </si>
  <si>
    <t>1. Годовой выпуск продукции, шт</t>
  </si>
  <si>
    <t>2. Затраты сырья, материалов на 1 шт, руб.</t>
  </si>
  <si>
    <t>3. Затраты энергии на технологические нужды на 1 шт, КВт*ч</t>
  </si>
  <si>
    <t>5. Основная и дополнительная заработная плата производственных рабочих на 1 шт, руб.</t>
  </si>
  <si>
    <t>Себестоимость 1 шт, руб.</t>
  </si>
  <si>
    <t>Цена 1 шт (без НДС), руб.</t>
  </si>
  <si>
    <t>Условно-переменные на 1ш т, руб. (Собщ-УПР)/В</t>
  </si>
  <si>
    <t>Точка окупаемости, шт</t>
  </si>
  <si>
    <t>СТРУКТУРА ЗАТРАТ, %</t>
  </si>
  <si>
    <r>
      <rPr>
        <b/>
        <i/>
        <sz val="12"/>
        <rFont val="Calibri"/>
        <family val="2"/>
        <charset val="204"/>
      </rPr>
      <t>Материальные затраты</t>
    </r>
    <r>
      <rPr>
        <sz val="12"/>
        <rFont val="Calibri"/>
        <family val="2"/>
        <charset val="204"/>
      </rPr>
      <t xml:space="preserve"> включают стоимость сырья, материалов, энергии, платы за пользование природными ресурсами</t>
    </r>
  </si>
  <si>
    <t>9. Средняя норма амортизации, %</t>
  </si>
  <si>
    <t>10. Расходы по содержанию и эксплуатации  оборудования в год, тыс. руб.</t>
  </si>
  <si>
    <t>11. Плата процентов по краткосрочным кредитам банка, тыс. руб.</t>
  </si>
  <si>
    <t>12. Оплата услуг информационных и аудиторских компаний, тыс. руб.</t>
  </si>
  <si>
    <t>13. Оплата рекламных услуг, тыс. руб.</t>
  </si>
  <si>
    <t>14. Расходы на упаковку и транспортировку продукции, тыс. руб.</t>
  </si>
  <si>
    <t>15. Плата за пользование природными ресурсами, тыс. руб.</t>
  </si>
  <si>
    <t>16. Расходы на освещение и отопление цеха, тыс. руб.</t>
  </si>
  <si>
    <t>17. Рентабельность продукции, %</t>
  </si>
  <si>
    <t>1. МЗ, руб. (п2*п1+п3*п4*п1+п15)</t>
  </si>
  <si>
    <t>2. ФОТ, руб. ((п5*п1)+п6))</t>
  </si>
  <si>
    <t>3. Отчисления в ФСЗН, руб. (34% от ФОТ)</t>
  </si>
  <si>
    <t>4. Амортизационные отчисления, руб. (п7+п8)*п9/100</t>
  </si>
  <si>
    <t>5. Прочие, руб. (п10+п11+п12+п13+п14+п16)</t>
  </si>
  <si>
    <t>Условно-постоянные (УПР), тыс. руб. (п. 6*1,34+п.7*п.9/100+п.11+п.12+п.13+п.16)</t>
  </si>
  <si>
    <r>
      <rPr>
        <b/>
        <i/>
        <sz val="12"/>
        <rFont val="Calibri"/>
        <family val="2"/>
        <charset val="204"/>
      </rPr>
      <t>Фонд оплаты труда</t>
    </r>
    <r>
      <rPr>
        <sz val="12"/>
        <rFont val="Calibri"/>
        <family val="2"/>
        <charset val="204"/>
      </rPr>
      <t xml:space="preserve"> - основную и дополнительную заработную плату производственных рабочих и административного персонала</t>
    </r>
  </si>
  <si>
    <r>
      <t xml:space="preserve">1. Смета затрат на производство продукции (на весь объем) формируется в соответствии с </t>
    </r>
    <r>
      <rPr>
        <sz val="12"/>
        <rFont val="Calibri"/>
        <family val="2"/>
        <charset val="204"/>
      </rPr>
      <t>Основными положениями по составу затрат, включаемых в себестоимость продукции на основании исходных данных.</t>
    </r>
  </si>
  <si>
    <r>
      <rPr>
        <b/>
        <i/>
        <sz val="12"/>
        <rFont val="Calibri"/>
        <family val="2"/>
        <charset val="204"/>
      </rPr>
      <t>Отчисления в ФСЗН</t>
    </r>
    <r>
      <rPr>
        <sz val="12"/>
        <rFont val="Calibri"/>
        <family val="2"/>
        <charset val="204"/>
      </rPr>
      <t xml:space="preserve"> - 34% от фонда отплаты труда</t>
    </r>
  </si>
  <si>
    <t>7. ОС общезаводского назначения, тыс. руб.</t>
  </si>
  <si>
    <t>8. ОС цехового назначения (оборудования), тыс. руб.</t>
  </si>
  <si>
    <r>
      <rPr>
        <b/>
        <i/>
        <sz val="12"/>
        <rFont val="Calibri"/>
        <family val="2"/>
        <charset val="204"/>
      </rPr>
      <t>Амортизационные отчисления</t>
    </r>
    <r>
      <rPr>
        <sz val="12"/>
        <rFont val="Calibri"/>
        <family val="2"/>
        <charset val="204"/>
      </rPr>
      <t xml:space="preserve"> рассчитываются исходя из средней нормы амортизации по данной организации и стоимости основных средств общезаводского и цехового назначения</t>
    </r>
  </si>
  <si>
    <r>
      <rPr>
        <b/>
        <i/>
        <sz val="12"/>
        <rFont val="Calibri"/>
        <family val="2"/>
        <charset val="204"/>
      </rPr>
      <t>Прочие</t>
    </r>
    <r>
      <rPr>
        <sz val="12"/>
        <rFont val="Calibri"/>
        <family val="2"/>
        <charset val="204"/>
      </rPr>
      <t>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  </r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</si>
  <si>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</si>
  <si>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</si>
  <si>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r>
      <t xml:space="preserve">где С – полная себестоимость единицы изделия, руб.; </t>
    </r>
    <r>
      <rPr>
        <i/>
        <sz val="12"/>
        <rFont val="Calibri"/>
        <family val="2"/>
        <charset val="204"/>
      </rPr>
      <t>R</t>
    </r>
    <r>
      <rPr>
        <sz val="12"/>
        <rFont val="Calibri"/>
        <family val="2"/>
        <charset val="204"/>
      </rPr>
      <t xml:space="preserve"> – планируемый процент рентабельности;</t>
    </r>
  </si>
  <si>
    <t>4. Группируются элементы затрат:</t>
  </si>
  <si>
    <t>– условно-переменные (материальные затраты, расходы на содержание машин и оборудования, заработная плата производственных рабочих с отчислениями в ФСЗН, расходы на упаковку и транспортирование продукции и др.).</t>
  </si>
  <si>
    <t xml:space="preserve">                                    </t>
  </si>
  <si>
    <r>
      <t>где З</t>
    </r>
    <r>
      <rPr>
        <vertAlign val="subscript"/>
        <sz val="12"/>
        <color indexed="8"/>
        <rFont val="Calibri"/>
        <family val="2"/>
        <charset val="204"/>
      </rPr>
      <t>пост</t>
    </r>
    <r>
      <rPr>
        <sz val="12"/>
        <color indexed="8"/>
        <rFont val="Calibri"/>
        <family val="2"/>
        <charset val="204"/>
      </rPr>
      <t xml:space="preserve"> – условно-постоянные затраты на весь выпуск продукции, руб.; </t>
    </r>
  </si>
  <si>
    <r>
      <t xml:space="preserve">      З</t>
    </r>
    <r>
      <rPr>
        <vertAlign val="subscript"/>
        <sz val="12"/>
        <color indexed="8"/>
        <rFont val="Calibri"/>
        <family val="2"/>
        <charset val="204"/>
      </rPr>
      <t>пер</t>
    </r>
    <r>
      <rPr>
        <sz val="12"/>
        <color indexed="8"/>
        <rFont val="Calibri"/>
        <family val="2"/>
        <charset val="204"/>
      </rPr>
      <t xml:space="preserve"> – условно-переменные затраты на единицу продукции, руб.</t>
    </r>
  </si>
  <si>
    <r>
      <t>– на условно-постоянные (</t>
    </r>
    <r>
      <rPr>
        <i/>
        <sz val="12"/>
        <color indexed="8"/>
        <rFont val="Calibri"/>
        <family val="2"/>
        <charset val="204"/>
      </rPr>
      <t>не зависят непосредственно от количества изготовляемой продукции</t>
    </r>
    <r>
      <rPr>
        <sz val="12"/>
        <color indexed="8"/>
        <rFont val="Calibri"/>
        <family val="2"/>
        <charset val="204"/>
      </rPr>
      <t>) (заработная плата управленческого персонала с отчислениями в ФСЗН, амортизационных отчислений ОС общезаводского назначения, плата процентов по ссудам, расходы информационных компаний, маркетинговые исследования, оплата рекламных услуг, расходы на подготовку и освоение производства, энергия на хозяйственные нужды и др.);</t>
    </r>
  </si>
  <si>
    <r>
      <rPr>
        <b/>
        <i/>
        <sz val="12"/>
        <color indexed="63"/>
        <rFont val="Calibri"/>
        <family val="2"/>
        <charset val="204"/>
      </rPr>
      <t>Точка безубыточности</t>
    </r>
    <r>
      <rPr>
        <sz val="12"/>
        <color indexed="63"/>
        <rFont val="Calibri"/>
        <family val="2"/>
        <charset val="204"/>
      </rPr>
      <t xml:space="preserve">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  </r>
  </si>
  <si>
    <r>
      <t>5. Определяется точка безубыточности В</t>
    </r>
    <r>
      <rPr>
        <vertAlign val="subscript"/>
        <sz val="12"/>
        <color indexed="8"/>
        <rFont val="Calibri"/>
        <family val="2"/>
        <charset val="204"/>
      </rPr>
      <t>без</t>
    </r>
    <r>
      <rPr>
        <sz val="12"/>
        <color indexed="8"/>
        <rFont val="Calibri"/>
        <family val="2"/>
        <charset val="204"/>
      </rPr>
      <t xml:space="preserve"> производства изделий по формуле</t>
    </r>
  </si>
  <si>
    <t>7. Рассчитывается запас финансовой прочности (при построении графика точки безубыточности, см лист "График")</t>
  </si>
  <si>
    <t>6. Строится круговая диаграмма структуры затрат по элементам, график точки безубыточности (см лист "График")</t>
  </si>
  <si>
    <r>
      <t>Насколько далеко предприятие от точки безубыточности показывает </t>
    </r>
    <r>
      <rPr>
        <i/>
        <sz val="12"/>
        <color indexed="63"/>
        <rFont val="Calibri"/>
        <family val="2"/>
        <charset val="204"/>
      </rPr>
      <t>запас финансовой прочности (кромка безопасности)</t>
    </r>
    <r>
      <rPr>
        <sz val="12"/>
        <color indexed="63"/>
        <rFont val="Calibri"/>
        <family val="2"/>
        <charset val="204"/>
      </rPr>
      <t>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  </r>
  </si>
  <si>
    <t>Запасом финансовой прочности считается запас прочности выше 30%</t>
  </si>
  <si>
    <r>
      <t xml:space="preserve">Задание. </t>
    </r>
    <r>
      <rPr>
        <sz val="14"/>
        <color indexed="60"/>
        <rFont val="Calibri"/>
        <family val="2"/>
        <charset val="204"/>
      </rPr>
      <t>Предприниматель с образованием юридического лица начал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  </r>
  </si>
  <si>
    <t>Кромка безопасности, тыс. руб.</t>
  </si>
  <si>
    <t>Кромка безопасности, %</t>
  </si>
  <si>
    <t>З пост, тыс.руб.</t>
  </si>
  <si>
    <t>В без, шт</t>
  </si>
  <si>
    <t>З пер, руб/шт</t>
  </si>
  <si>
    <t>Ц, руб/шт</t>
  </si>
  <si>
    <t>Выпуск ф, шт</t>
  </si>
  <si>
    <t>Объем производства, шт</t>
  </si>
  <si>
    <t>Зпост, тыс руб</t>
  </si>
  <si>
    <t>Зпер, тыс руб</t>
  </si>
  <si>
    <t>Зитого</t>
  </si>
  <si>
    <t>Выручка общ, тыс руб</t>
  </si>
  <si>
    <t>Прибыль, 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</si>
</sst>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0" x14ac:knownFonts="1">
    <font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vertAlign val="subscript"/>
      <sz val="12"/>
      <name val="Calibri"/>
      <family val="2"/>
      <charset val="204"/>
    </font>
    <font>
      <i/>
      <sz val="12"/>
      <name val="Calibri"/>
      <family val="2"/>
      <charset val="204"/>
    </font>
    <font>
      <vertAlign val="subscript"/>
      <sz val="12"/>
      <color indexed="8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8"/>
      <name val="Calibri"/>
      <family val="2"/>
      <charset val="204"/>
    </font>
    <font>
      <sz val="12"/>
      <color indexed="63"/>
      <name val="Calibri"/>
      <family val="2"/>
      <charset val="204"/>
    </font>
    <font>
      <b/>
      <i/>
      <sz val="12"/>
      <color indexed="63"/>
      <name val="Calibri"/>
      <family val="2"/>
      <charset val="204"/>
    </font>
    <font>
      <i/>
      <sz val="12"/>
      <color indexed="63"/>
      <name val="Calibri"/>
      <family val="2"/>
      <charset val="204"/>
    </font>
    <font>
      <sz val="14"/>
      <color indexed="60"/>
      <name val="Calibri"/>
      <family val="2"/>
      <charset val="204"/>
    </font>
    <font>
      <b/>
      <i/>
      <sz val="14"/>
      <color rgb="FFC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rgb="FF1111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0"/>
      <name val="Arial Cyr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2" borderId="2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2" fontId="18" fillId="3" borderId="1" xfId="0" applyNumberFormat="1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/>
    </xf>
    <xf numFmtId="2" fontId="17" fillId="4" borderId="3" xfId="0" applyNumberFormat="1" applyFont="1" applyFill="1" applyBorder="1" applyAlignment="1">
      <alignment horizontal="justify" vertical="top" wrapText="1"/>
    </xf>
    <xf numFmtId="0" fontId="19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 vertical="top" wrapText="1"/>
    </xf>
    <xf numFmtId="2" fontId="20" fillId="5" borderId="1" xfId="0" applyNumberFormat="1" applyFont="1" applyFill="1" applyBorder="1"/>
    <xf numFmtId="0" fontId="17" fillId="6" borderId="1" xfId="0" applyFont="1" applyFill="1" applyBorder="1" applyAlignment="1">
      <alignment horizontal="center" vertical="top" wrapText="1"/>
    </xf>
    <xf numFmtId="3" fontId="20" fillId="4" borderId="1" xfId="0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center" vertical="top" wrapText="1"/>
    </xf>
    <xf numFmtId="0" fontId="22" fillId="0" borderId="0" xfId="0" applyFont="1"/>
    <xf numFmtId="0" fontId="22" fillId="4" borderId="1" xfId="0" applyFont="1" applyFill="1" applyBorder="1"/>
    <xf numFmtId="0" fontId="23" fillId="4" borderId="1" xfId="0" applyFont="1" applyFill="1" applyBorder="1"/>
    <xf numFmtId="0" fontId="18" fillId="5" borderId="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" fontId="20" fillId="5" borderId="1" xfId="0" applyNumberFormat="1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164" fontId="20" fillId="7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2" fontId="18" fillId="5" borderId="3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/>
    <xf numFmtId="2" fontId="18" fillId="7" borderId="1" xfId="0" applyNumberFormat="1" applyFont="1" applyFill="1" applyBorder="1"/>
    <xf numFmtId="2" fontId="18" fillId="7" borderId="1" xfId="0" applyNumberFormat="1" applyFont="1" applyFill="1" applyBorder="1" applyAlignment="1">
      <alignment horizontal="justify" vertical="top" wrapText="1"/>
    </xf>
    <xf numFmtId="0" fontId="16" fillId="0" borderId="0" xfId="0" applyFont="1" applyAlignment="1">
      <alignment wrapText="1"/>
    </xf>
    <xf numFmtId="0" fontId="15" fillId="8" borderId="0" xfId="0" applyFont="1" applyFill="1" applyAlignment="1">
      <alignment horizontal="justify" vertical="center"/>
    </xf>
    <xf numFmtId="0" fontId="16" fillId="8" borderId="0" xfId="0" applyFont="1" applyFill="1" applyAlignment="1">
      <alignment horizontal="justify" vertical="center"/>
    </xf>
    <xf numFmtId="0" fontId="25" fillId="0" borderId="0" xfId="0" applyFont="1" applyAlignment="1">
      <alignment wrapText="1"/>
    </xf>
    <xf numFmtId="0" fontId="16" fillId="8" borderId="0" xfId="0" applyFont="1" applyFill="1"/>
    <xf numFmtId="0" fontId="25" fillId="0" borderId="0" xfId="0" applyFont="1" applyAlignment="1">
      <alignment vertical="center" wrapText="1"/>
    </xf>
    <xf numFmtId="0" fontId="26" fillId="0" borderId="0" xfId="0" applyFont="1"/>
    <xf numFmtId="0" fontId="0" fillId="4" borderId="1" xfId="0" applyFill="1" applyBorder="1"/>
    <xf numFmtId="2" fontId="17" fillId="5" borderId="1" xfId="0" applyNumberFormat="1" applyFont="1" applyFill="1" applyBorder="1" applyAlignment="1">
      <alignment horizontal="center" vertical="top" wrapText="1"/>
    </xf>
    <xf numFmtId="1" fontId="18" fillId="5" borderId="3" xfId="0" applyNumberFormat="1" applyFont="1" applyFill="1" applyBorder="1" applyAlignment="1">
      <alignment horizontal="center"/>
    </xf>
    <xf numFmtId="2" fontId="20" fillId="7" borderId="1" xfId="0" applyNumberFormat="1" applyFont="1" applyFill="1" applyBorder="1" applyAlignment="1">
      <alignment horizontal="center"/>
    </xf>
    <xf numFmtId="2" fontId="20" fillId="5" borderId="1" xfId="0" applyNumberFormat="1" applyFont="1" applyFill="1" applyBorder="1" applyAlignment="1">
      <alignment horizontal="center"/>
    </xf>
    <xf numFmtId="1" fontId="22" fillId="4" borderId="1" xfId="0" applyNumberFormat="1" applyFont="1" applyFill="1" applyBorder="1"/>
    <xf numFmtId="1" fontId="24" fillId="4" borderId="1" xfId="0" applyNumberFormat="1" applyFont="1" applyFill="1" applyBorder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29" fillId="0" borderId="0" xfId="0" applyFont="1" applyAlignment="1">
      <alignment vertical="center" wrapText="1"/>
    </xf>
    <xf numFmtId="164" fontId="29" fillId="0" borderId="0" xfId="0" applyNumberFormat="1" applyFont="1"/>
    <xf numFmtId="0" fontId="29" fillId="0" borderId="0" xfId="0" applyFont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0" fontId="29" fillId="0" borderId="1" xfId="0" applyFont="1" applyBorder="1" applyAlignment="1">
      <alignment vertical="center" wrapText="1"/>
    </xf>
    <xf numFmtId="3" fontId="29" fillId="0" borderId="1" xfId="0" applyNumberFormat="1" applyFont="1" applyBorder="1"/>
    <xf numFmtId="164" fontId="29" fillId="0" borderId="1" xfId="0" applyNumberFormat="1" applyFont="1" applyBorder="1"/>
    <xf numFmtId="0" fontId="29" fillId="0" borderId="1" xfId="0" applyFont="1" applyBorder="1"/>
    <xf numFmtId="0" fontId="17" fillId="2" borderId="4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27" fillId="2" borderId="6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 vertical="top" wrapText="1"/>
    </xf>
    <xf numFmtId="0" fontId="27" fillId="2" borderId="8" xfId="0" applyFont="1" applyFill="1" applyBorder="1" applyAlignment="1">
      <alignment horizontal="center" vertical="top" wrapText="1"/>
    </xf>
    <xf numFmtId="0" fontId="28" fillId="0" borderId="9" xfId="0" applyFont="1" applyBorder="1" applyAlignment="1">
      <alignment horizontal="left" wrapText="1"/>
    </xf>
    <xf numFmtId="0" fontId="18" fillId="0" borderId="1" xfId="0" applyFont="1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top" wrapText="1"/>
    </xf>
    <xf numFmtId="0" fontId="18" fillId="9" borderId="1" xfId="0" applyFont="1" applyFill="1" applyBorder="1" applyAlignment="1">
      <alignment horizontal="center" vertical="center" wrapText="1"/>
    </xf>
    <xf numFmtId="1" fontId="23" fillId="4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1600" b="1" i="0" u="none" strike="noStrike" normalizeH="0" baseline="0">
                <a:effectLst/>
              </a:rPr>
              <a:t>СТРУКТУРА ЗАТРАТ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B-8A99-450F-88AE-AE63696012E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D-8A99-450F-88AE-AE63696012E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F-8A99-450F-88AE-AE63696012E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1-8A99-450F-88AE-AE63696012E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3-8A99-450F-88AE-AE63696012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'Исх данные решение'!$A$34:$A$38</c:f>
              <c:strCache>
                <c:ptCount val="5"/>
                <c:pt idx="0">
                  <c:v>1. Материальные затраты</c:v>
                </c:pt>
                <c:pt idx="1">
                  <c:v>2. Фонд оплаты труда работников</c:v>
                </c:pt>
                <c:pt idx="2">
                  <c:v>3. Отчисления в ФСЗН</c:v>
                </c:pt>
                <c:pt idx="3">
                  <c:v>4. Амортизационные отчисления</c:v>
                </c:pt>
                <c:pt idx="4">
                  <c:v>5. Прочие</c:v>
                </c:pt>
              </c:strCache>
            </c:strRef>
          </c:cat>
          <c:val>
            <c:numRef>
              <c:f>'Исх данные решение'!$C$34:$C$38</c:f>
              <c:numCache>
                <c:formatCode>0</c:formatCode>
                <c:ptCount val="5"/>
                <c:pt idx="0">
                  <c:v>44.262810252313585</c:v>
                </c:pt>
                <c:pt idx="1">
                  <c:v>16.931530827721307</c:v>
                </c:pt>
                <c:pt idx="2">
                  <c:v>5.7567204814252451</c:v>
                </c:pt>
                <c:pt idx="3">
                  <c:v>7.8205169623688287</c:v>
                </c:pt>
                <c:pt idx="4">
                  <c:v>25.228421476171036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639-4F74-9582-F74E654C6E3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  <c:extLst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Точка</a:t>
            </a:r>
            <a:r>
              <a:rPr lang="ru-RU" baseline="0"/>
              <a:t> безубыточности, шт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'Исх данные решение'!$F$66</c:f>
              <c:strCache>
                <c:ptCount val="1"/>
                <c:pt idx="0">
                  <c:v>Зитого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'Исх данные решение'!$E$67:$E$81</c:f>
              <c:numCache>
                <c:formatCode>0.0</c:formatCode>
                <c:ptCount val="15"/>
                <c:pt idx="0">
                  <c:v>5086.833333333333</c:v>
                </c:pt>
                <c:pt idx="1">
                  <c:v>7630.25</c:v>
                </c:pt>
                <c:pt idx="2">
                  <c:v>14142.1482635142</c:v>
                </c:pt>
                <c:pt idx="3">
                  <c:v>10173.666666666666</c:v>
                </c:pt>
                <c:pt idx="4">
                  <c:v>12717.083333333334</c:v>
                </c:pt>
                <c:pt idx="5">
                  <c:v>15260.5</c:v>
                </c:pt>
                <c:pt idx="6">
                  <c:v>17803.916666666668</c:v>
                </c:pt>
                <c:pt idx="7">
                  <c:v>20347.333333333332</c:v>
                </c:pt>
                <c:pt idx="8">
                  <c:v>22890.75</c:v>
                </c:pt>
                <c:pt idx="9">
                  <c:v>25434.166666666668</c:v>
                </c:pt>
                <c:pt idx="10">
                  <c:v>27977.583333333332</c:v>
                </c:pt>
                <c:pt idx="11">
                  <c:v>30521</c:v>
                </c:pt>
                <c:pt idx="12">
                  <c:v>33064.416666666672</c:v>
                </c:pt>
                <c:pt idx="13">
                  <c:v>35607.833333333336</c:v>
                </c:pt>
                <c:pt idx="14">
                  <c:v>30521</c:v>
                </c:pt>
              </c:numCache>
            </c:numRef>
          </c:xVal>
          <c:yVal>
            <c:numRef>
              <c:f>'Исх данные решение'!$F$67:$F$81</c:f>
              <c:numCache>
                <c:formatCode>0.0</c:formatCode>
                <c:ptCount val="15"/>
                <c:pt idx="0">
                  <c:v>8614.7333333333336</c:v>
                </c:pt>
                <c:pt idx="1">
                  <c:v>11158.15</c:v>
                </c:pt>
                <c:pt idx="2">
                  <c:v>17670.0482635142</c:v>
                </c:pt>
                <c:pt idx="3">
                  <c:v>13701.566666666666</c:v>
                </c:pt>
                <c:pt idx="4">
                  <c:v>16244.983333333334</c:v>
                </c:pt>
                <c:pt idx="5">
                  <c:v>18788.400000000001</c:v>
                </c:pt>
                <c:pt idx="6">
                  <c:v>21331.816666666669</c:v>
                </c:pt>
                <c:pt idx="7">
                  <c:v>23875.233333333334</c:v>
                </c:pt>
                <c:pt idx="8">
                  <c:v>26418.65</c:v>
                </c:pt>
                <c:pt idx="9">
                  <c:v>28962.066666666669</c:v>
                </c:pt>
                <c:pt idx="10">
                  <c:v>31505.483333333334</c:v>
                </c:pt>
                <c:pt idx="11">
                  <c:v>34048.9</c:v>
                </c:pt>
                <c:pt idx="12">
                  <c:v>36592.316666666673</c:v>
                </c:pt>
                <c:pt idx="13">
                  <c:v>39135.733333333337</c:v>
                </c:pt>
                <c:pt idx="14">
                  <c:v>34048.9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B-4751-B186-27C2B89610FE}"/>
            </c:ext>
          </c:extLst>
        </c:ser>
        <c:ser>
          <c:idx val="1"/>
          <c:order val="1"/>
          <c:tx>
            <c:strRef>
              <c:f>'Исх данные решение'!$G$66</c:f>
              <c:strCache>
                <c:ptCount val="1"/>
                <c:pt idx="0">
                  <c:v>Выручка общ, тыс руб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'Исх данные решение'!$E$67:$E$81</c:f>
              <c:numCache>
                <c:formatCode>0.0</c:formatCode>
                <c:ptCount val="15"/>
                <c:pt idx="0">
                  <c:v>5086.833333333333</c:v>
                </c:pt>
                <c:pt idx="1">
                  <c:v>7630.25</c:v>
                </c:pt>
                <c:pt idx="2">
                  <c:v>14142.1482635142</c:v>
                </c:pt>
                <c:pt idx="3">
                  <c:v>10173.666666666666</c:v>
                </c:pt>
                <c:pt idx="4">
                  <c:v>12717.083333333334</c:v>
                </c:pt>
                <c:pt idx="5">
                  <c:v>15260.5</c:v>
                </c:pt>
                <c:pt idx="6">
                  <c:v>17803.916666666668</c:v>
                </c:pt>
                <c:pt idx="7">
                  <c:v>20347.333333333332</c:v>
                </c:pt>
                <c:pt idx="8">
                  <c:v>22890.75</c:v>
                </c:pt>
                <c:pt idx="9">
                  <c:v>25434.166666666668</c:v>
                </c:pt>
                <c:pt idx="10">
                  <c:v>27977.583333333332</c:v>
                </c:pt>
                <c:pt idx="11">
                  <c:v>30521</c:v>
                </c:pt>
                <c:pt idx="12">
                  <c:v>33064.416666666672</c:v>
                </c:pt>
                <c:pt idx="13">
                  <c:v>35607.833333333336</c:v>
                </c:pt>
                <c:pt idx="14">
                  <c:v>30521</c:v>
                </c:pt>
              </c:numCache>
            </c:numRef>
          </c:xVal>
          <c:yVal>
            <c:numRef>
              <c:f>'Исх данные решение'!$G$67:$G$81</c:f>
              <c:numCache>
                <c:formatCode>General</c:formatCode>
                <c:ptCount val="15"/>
                <c:pt idx="0">
                  <c:v>6355.7946666666667</c:v>
                </c:pt>
                <c:pt idx="1">
                  <c:v>9533.6919999999991</c:v>
                </c:pt>
                <c:pt idx="2">
                  <c:v>17670.048263514203</c:v>
                </c:pt>
                <c:pt idx="3">
                  <c:v>12711.589333333333</c:v>
                </c:pt>
                <c:pt idx="4">
                  <c:v>15889.486666666668</c:v>
                </c:pt>
                <c:pt idx="5">
                  <c:v>19067.383999999998</c:v>
                </c:pt>
                <c:pt idx="6">
                  <c:v>22245.281333333336</c:v>
                </c:pt>
                <c:pt idx="7">
                  <c:v>25423.178666666667</c:v>
                </c:pt>
                <c:pt idx="8">
                  <c:v>28601.076000000001</c:v>
                </c:pt>
                <c:pt idx="9">
                  <c:v>31778.973333333335</c:v>
                </c:pt>
                <c:pt idx="10">
                  <c:v>34956.870666666669</c:v>
                </c:pt>
                <c:pt idx="11">
                  <c:v>38134.767999999996</c:v>
                </c:pt>
                <c:pt idx="12">
                  <c:v>41312.665333333338</c:v>
                </c:pt>
                <c:pt idx="13">
                  <c:v>44490.562666666672</c:v>
                </c:pt>
                <c:pt idx="14">
                  <c:v>38134.767999999996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B-4751-B186-27C2B896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482920"/>
        <c:axId val="643483280"/>
      </c:scatterChart>
      <c:valAx>
        <c:axId val="64348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483280"/>
        <c:crosses val="autoZero"/>
        <c:crossBetween val="midCat"/>
      </c:valAx>
      <c:valAx>
        <c:axId val="6434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482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282389</xdr:colOff>
      <xdr:row>41</xdr:row>
      <xdr:rowOff>165847</xdr:rowOff>
    </xdr:from>
    <xdr:to>
      <xdr:col>2</xdr:col>
      <xdr:colOff>461683</xdr:colOff>
      <xdr:row>58</xdr:row>
      <xdr:rowOff>13447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443754</xdr:colOff>
      <xdr:row>65</xdr:row>
      <xdr:rowOff>255494</xdr:rowOff>
    </xdr:from>
    <xdr:to>
      <xdr:col>16</xdr:col>
      <xdr:colOff>237565</xdr:colOff>
      <xdr:row>79</xdr:row>
      <xdr:rowOff>112059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2918460</xdr:colOff>
          <xdr:row>11</xdr:row>
          <xdr:rowOff>30480</xdr:rowOff>
        </xdr:from>
        <xdr:to>
          <xdr:col>0</xdr:col>
          <xdr:colOff>3497580</xdr:colOff>
          <xdr:row>12</xdr:row>
          <xdr:rowOff>15240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1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2788920</xdr:colOff>
          <xdr:row>13</xdr:row>
          <xdr:rowOff>190500</xdr:rowOff>
        </xdr:from>
        <xdr:to>
          <xdr:col>0</xdr:col>
          <xdr:colOff>3756660</xdr:colOff>
          <xdr:row>15</xdr:row>
          <xdr:rowOff>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1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2682240</xdr:colOff>
          <xdr:row>19</xdr:row>
          <xdr:rowOff>38100</xdr:rowOff>
        </xdr:from>
        <xdr:to>
          <xdr:col>0</xdr:col>
          <xdr:colOff>3764280</xdr:colOff>
          <xdr:row>21</xdr:row>
          <xdr:rowOff>0</xdr:rowOff>
        </xdr:to>
        <xdr:sp macro="" textlink="">
          <xdr:nvSpPr>
            <xdr:cNvPr id="24579" name="Object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1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6439</xdr:colOff>
      <xdr:row>44</xdr:row>
      <xdr:rowOff>32197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927"/>
          <a:ext cx="8023538" cy="695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590913</xdr:colOff>
      <xdr:row>0</xdr:row>
      <xdr:rowOff>143941</xdr:rowOff>
    </xdr:from>
    <xdr:to>
      <xdr:col>16</xdr:col>
      <xdr:colOff>571565</xdr:colOff>
      <xdr:row>23</xdr:row>
      <xdr:rowOff>8619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8" y="9409154"/>
          <a:ext cx="4950381" cy="35237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445530</xdr:colOff>
      <xdr:row>58</xdr:row>
      <xdr:rowOff>95833</xdr:rowOff>
    </xdr:to>
    <xdr:pic>
      <xdr:nvPicPr>
        <xdr:cNvPr id="8" name="Рисунок 1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8636421" y="13242512"/>
          <a:ext cx="7900124" cy="5345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abSelected="1" zoomScale="70" zoomScaleNormal="70" workbookViewId="0">
      <selection activeCell="R70" sqref="R70"/>
    </sheetView>
  </sheetViews>
  <sheetFormatPr defaultRowHeight="13.2" x14ac:dyDescent="0.25"/>
  <cols>
    <col min="1" max="1" width="56" customWidth="1"/>
    <col min="2" max="2" width="8.109375" customWidth="1"/>
    <col min="3" max="3" width="11.77734375" customWidth="1"/>
    <col min="4" max="4" width="14" customWidth="1"/>
    <col min="5" max="5" width="8.77734375" customWidth="1"/>
    <col min="6" max="6" width="8.21875" customWidth="1"/>
    <col min="7" max="7" width="8.77734375" customWidth="1"/>
    <col min="8" max="9" width="7.5546875" customWidth="1"/>
    <col min="10" max="10" width="8.44140625" customWidth="1"/>
    <col min="11" max="11" width="9.109375" customWidth="1"/>
  </cols>
  <sheetData>
    <row r="1" spans="1:11" s="1" customFormat="1" ht="90.3" customHeight="1" thickBot="1" x14ac:dyDescent="0.4">
      <c r="A1" s="68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6.2" thickBot="1" x14ac:dyDescent="0.3">
      <c r="A2" s="63" t="s">
        <v>0</v>
      </c>
      <c r="B2" s="65" t="s">
        <v>1</v>
      </c>
      <c r="C2" s="66"/>
      <c r="D2" s="66"/>
      <c r="E2" s="66"/>
      <c r="F2" s="66"/>
      <c r="G2" s="66"/>
      <c r="H2" s="66"/>
      <c r="I2" s="66"/>
      <c r="J2" s="66"/>
      <c r="K2" s="67"/>
    </row>
    <row r="3" spans="1:11" ht="15.6" x14ac:dyDescent="0.25">
      <c r="A3" s="64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</row>
    <row r="4" spans="1:11" ht="13.65" customHeight="1" x14ac:dyDescent="0.25">
      <c r="A4" s="9" t="s">
        <v>16</v>
      </c>
      <c r="B4" s="10">
        <v>48000</v>
      </c>
      <c r="C4" s="10">
        <v>60000</v>
      </c>
      <c r="D4" s="69">
        <v>72000</v>
      </c>
      <c r="E4" s="10">
        <v>50000</v>
      </c>
      <c r="F4" s="10">
        <v>45000</v>
      </c>
      <c r="G4" s="11">
        <v>63000</v>
      </c>
      <c r="H4" s="11">
        <v>70000</v>
      </c>
      <c r="I4" s="11">
        <v>60000</v>
      </c>
      <c r="J4" s="11">
        <v>55000</v>
      </c>
      <c r="K4" s="11">
        <v>74000</v>
      </c>
    </row>
    <row r="5" spans="1:11" ht="13.65" customHeight="1" x14ac:dyDescent="0.25">
      <c r="A5" s="12" t="s">
        <v>17</v>
      </c>
      <c r="B5" s="10">
        <v>300</v>
      </c>
      <c r="C5" s="71">
        <v>220</v>
      </c>
      <c r="D5" s="69">
        <v>240</v>
      </c>
      <c r="E5" s="10">
        <v>350</v>
      </c>
      <c r="F5" s="10">
        <v>270</v>
      </c>
      <c r="G5" s="11">
        <v>280</v>
      </c>
      <c r="H5" s="11">
        <v>350</v>
      </c>
      <c r="I5" s="11">
        <v>400</v>
      </c>
      <c r="J5" s="11">
        <v>370</v>
      </c>
      <c r="K5" s="11">
        <v>185</v>
      </c>
    </row>
    <row r="6" spans="1:11" ht="15.45" customHeight="1" x14ac:dyDescent="0.25">
      <c r="A6" s="12" t="s">
        <v>18</v>
      </c>
      <c r="B6" s="10">
        <v>95</v>
      </c>
      <c r="C6" s="71">
        <v>80</v>
      </c>
      <c r="D6" s="69">
        <v>140</v>
      </c>
      <c r="E6" s="10">
        <v>160</v>
      </c>
      <c r="F6" s="10">
        <v>155</v>
      </c>
      <c r="G6" s="11">
        <v>130</v>
      </c>
      <c r="H6" s="11">
        <v>240</v>
      </c>
      <c r="I6" s="11">
        <v>270</v>
      </c>
      <c r="J6" s="11">
        <v>360</v>
      </c>
      <c r="K6" s="11">
        <v>150</v>
      </c>
    </row>
    <row r="7" spans="1:11" ht="13.35" customHeight="1" x14ac:dyDescent="0.25">
      <c r="A7" s="12" t="s">
        <v>2</v>
      </c>
      <c r="B7" s="10">
        <v>0.35</v>
      </c>
      <c r="C7" s="71">
        <v>0.37</v>
      </c>
      <c r="D7" s="69">
        <v>0.38</v>
      </c>
      <c r="E7" s="10">
        <v>0.4</v>
      </c>
      <c r="F7" s="10">
        <v>0.39</v>
      </c>
      <c r="G7" s="11">
        <v>0.38</v>
      </c>
      <c r="H7" s="11">
        <v>0.35</v>
      </c>
      <c r="I7" s="11">
        <v>0.37</v>
      </c>
      <c r="J7" s="11">
        <v>0.36</v>
      </c>
      <c r="K7" s="11">
        <v>0.42</v>
      </c>
    </row>
    <row r="8" spans="1:11" ht="30" customHeight="1" x14ac:dyDescent="0.25">
      <c r="A8" s="12" t="s">
        <v>19</v>
      </c>
      <c r="B8" s="11">
        <v>75</v>
      </c>
      <c r="C8" s="72">
        <v>95</v>
      </c>
      <c r="D8" s="70">
        <v>90</v>
      </c>
      <c r="E8" s="11">
        <v>85</v>
      </c>
      <c r="F8" s="11">
        <v>65</v>
      </c>
      <c r="G8" s="11">
        <v>65</v>
      </c>
      <c r="H8" s="11">
        <v>70</v>
      </c>
      <c r="I8" s="11">
        <v>50</v>
      </c>
      <c r="J8" s="11">
        <v>45</v>
      </c>
      <c r="K8" s="11">
        <v>60</v>
      </c>
    </row>
    <row r="9" spans="1:11" ht="26.4" customHeight="1" x14ac:dyDescent="0.25">
      <c r="A9" s="12" t="s">
        <v>3</v>
      </c>
      <c r="B9" s="11">
        <v>55</v>
      </c>
      <c r="C9" s="72">
        <v>65</v>
      </c>
      <c r="D9" s="70">
        <v>60</v>
      </c>
      <c r="E9" s="11">
        <v>50</v>
      </c>
      <c r="F9" s="11">
        <v>40</v>
      </c>
      <c r="G9" s="11">
        <v>8.58</v>
      </c>
      <c r="H9" s="11">
        <v>3.14</v>
      </c>
      <c r="I9" s="11">
        <v>3.56</v>
      </c>
      <c r="J9" s="11">
        <v>4.68</v>
      </c>
      <c r="K9" s="11">
        <v>7.34</v>
      </c>
    </row>
    <row r="10" spans="1:11" ht="16.8" customHeight="1" x14ac:dyDescent="0.25">
      <c r="A10" s="12" t="s">
        <v>44</v>
      </c>
      <c r="B10" s="11">
        <v>6560</v>
      </c>
      <c r="C10" s="72">
        <v>3840</v>
      </c>
      <c r="D10" s="70">
        <v>5460</v>
      </c>
      <c r="E10" s="11">
        <v>6250</v>
      </c>
      <c r="F10" s="11">
        <v>7280</v>
      </c>
      <c r="G10" s="11">
        <v>19840</v>
      </c>
      <c r="H10" s="11">
        <v>15270</v>
      </c>
      <c r="I10" s="11">
        <v>16450</v>
      </c>
      <c r="J10" s="11">
        <v>17150</v>
      </c>
      <c r="K10" s="11">
        <v>19270</v>
      </c>
    </row>
    <row r="11" spans="1:11" ht="13.65" customHeight="1" x14ac:dyDescent="0.25">
      <c r="A11" s="12" t="s">
        <v>45</v>
      </c>
      <c r="B11" s="11">
        <v>19670</v>
      </c>
      <c r="C11" s="72">
        <v>18350</v>
      </c>
      <c r="D11" s="70">
        <v>19960</v>
      </c>
      <c r="E11" s="11">
        <v>18470</v>
      </c>
      <c r="F11" s="11">
        <v>19520</v>
      </c>
      <c r="G11" s="11">
        <v>13000</v>
      </c>
      <c r="H11" s="11">
        <v>14000</v>
      </c>
      <c r="I11" s="11">
        <v>11000</v>
      </c>
      <c r="J11" s="11">
        <v>10000</v>
      </c>
      <c r="K11" s="11">
        <v>12000</v>
      </c>
    </row>
    <row r="12" spans="1:11" ht="13.65" customHeight="1" x14ac:dyDescent="0.25">
      <c r="A12" s="12" t="s">
        <v>26</v>
      </c>
      <c r="B12" s="11">
        <v>10</v>
      </c>
      <c r="C12" s="72">
        <v>12</v>
      </c>
      <c r="D12" s="70">
        <v>8</v>
      </c>
      <c r="E12" s="11">
        <v>11</v>
      </c>
      <c r="F12" s="11">
        <v>10</v>
      </c>
      <c r="G12" s="11">
        <v>7</v>
      </c>
      <c r="H12" s="11">
        <v>9</v>
      </c>
      <c r="I12" s="11">
        <v>15</v>
      </c>
      <c r="J12" s="11">
        <v>12</v>
      </c>
      <c r="K12" s="11">
        <v>6</v>
      </c>
    </row>
    <row r="13" spans="1:11" ht="15.15" customHeight="1" x14ac:dyDescent="0.25">
      <c r="A13" s="12" t="s">
        <v>27</v>
      </c>
      <c r="B13" s="11">
        <v>9000</v>
      </c>
      <c r="C13" s="72">
        <v>5500</v>
      </c>
      <c r="D13" s="70">
        <v>6000</v>
      </c>
      <c r="E13" s="11">
        <v>8000</v>
      </c>
      <c r="F13" s="11">
        <v>4500</v>
      </c>
      <c r="G13" s="11">
        <v>2200</v>
      </c>
      <c r="H13" s="11">
        <v>2300</v>
      </c>
      <c r="I13" s="11">
        <v>1800</v>
      </c>
      <c r="J13" s="11">
        <v>2050</v>
      </c>
      <c r="K13" s="11">
        <v>2000</v>
      </c>
    </row>
    <row r="14" spans="1:11" ht="13.8" customHeight="1" x14ac:dyDescent="0.25">
      <c r="A14" s="12" t="s">
        <v>28</v>
      </c>
      <c r="B14" s="11">
        <v>2600</v>
      </c>
      <c r="C14" s="72">
        <v>2100</v>
      </c>
      <c r="D14" s="70">
        <v>1700</v>
      </c>
      <c r="E14" s="11">
        <v>2500</v>
      </c>
      <c r="F14" s="11">
        <v>1900</v>
      </c>
      <c r="G14" s="11">
        <v>190</v>
      </c>
      <c r="H14" s="11">
        <v>100</v>
      </c>
      <c r="I14" s="11">
        <v>170</v>
      </c>
      <c r="J14" s="11">
        <v>130</v>
      </c>
      <c r="K14" s="11">
        <v>110</v>
      </c>
    </row>
    <row r="15" spans="1:11" ht="18.3" customHeight="1" x14ac:dyDescent="0.25">
      <c r="A15" s="12" t="s">
        <v>29</v>
      </c>
      <c r="B15" s="11">
        <v>200</v>
      </c>
      <c r="C15" s="72">
        <v>180</v>
      </c>
      <c r="D15" s="70">
        <v>150</v>
      </c>
      <c r="E15" s="11">
        <v>210</v>
      </c>
      <c r="F15" s="11">
        <v>140</v>
      </c>
      <c r="G15" s="11">
        <v>150</v>
      </c>
      <c r="H15" s="11">
        <v>280</v>
      </c>
      <c r="I15" s="11">
        <v>400</v>
      </c>
      <c r="J15" s="11">
        <v>190</v>
      </c>
      <c r="K15" s="11">
        <v>350</v>
      </c>
    </row>
    <row r="16" spans="1:11" ht="13.65" customHeight="1" x14ac:dyDescent="0.25">
      <c r="A16" s="12" t="s">
        <v>30</v>
      </c>
      <c r="B16" s="11">
        <v>200</v>
      </c>
      <c r="C16" s="72">
        <v>650</v>
      </c>
      <c r="D16" s="70">
        <v>220</v>
      </c>
      <c r="E16" s="11">
        <v>140</v>
      </c>
      <c r="F16" s="11">
        <v>310</v>
      </c>
      <c r="G16" s="11">
        <v>150</v>
      </c>
      <c r="H16" s="11">
        <v>100</v>
      </c>
      <c r="I16" s="11">
        <v>110</v>
      </c>
      <c r="J16" s="11">
        <v>120</v>
      </c>
      <c r="K16" s="11">
        <v>140</v>
      </c>
    </row>
    <row r="17" spans="1:11" ht="14.7" customHeight="1" x14ac:dyDescent="0.25">
      <c r="A17" s="12" t="s">
        <v>31</v>
      </c>
      <c r="B17" s="11">
        <v>150</v>
      </c>
      <c r="C17" s="72">
        <v>110</v>
      </c>
      <c r="D17" s="70">
        <v>160</v>
      </c>
      <c r="E17" s="11">
        <v>95</v>
      </c>
      <c r="F17" s="11">
        <v>120</v>
      </c>
      <c r="G17" s="11">
        <v>170</v>
      </c>
      <c r="H17" s="11">
        <v>130</v>
      </c>
      <c r="I17" s="11">
        <v>190</v>
      </c>
      <c r="J17" s="11">
        <v>160</v>
      </c>
      <c r="K17" s="11">
        <v>110</v>
      </c>
    </row>
    <row r="18" spans="1:11" ht="13.35" customHeight="1" x14ac:dyDescent="0.25">
      <c r="A18" s="12" t="s">
        <v>32</v>
      </c>
      <c r="B18" s="11">
        <v>120</v>
      </c>
      <c r="C18" s="72">
        <v>95</v>
      </c>
      <c r="D18" s="70">
        <v>100</v>
      </c>
      <c r="E18" s="11">
        <v>150</v>
      </c>
      <c r="F18" s="11">
        <v>140</v>
      </c>
      <c r="G18" s="11">
        <v>30</v>
      </c>
      <c r="H18" s="11">
        <v>35</v>
      </c>
      <c r="I18" s="11">
        <v>50</v>
      </c>
      <c r="J18" s="11">
        <v>60</v>
      </c>
      <c r="K18" s="11">
        <v>65</v>
      </c>
    </row>
    <row r="19" spans="1:11" ht="14.25" customHeight="1" x14ac:dyDescent="0.25">
      <c r="A19" s="12" t="s">
        <v>33</v>
      </c>
      <c r="B19" s="11">
        <v>24</v>
      </c>
      <c r="C19" s="72">
        <v>50</v>
      </c>
      <c r="D19" s="70">
        <v>60</v>
      </c>
      <c r="E19" s="11">
        <v>40</v>
      </c>
      <c r="F19" s="11">
        <v>45</v>
      </c>
      <c r="G19" s="11">
        <v>395</v>
      </c>
      <c r="H19" s="11">
        <v>400</v>
      </c>
      <c r="I19" s="11">
        <v>505</v>
      </c>
      <c r="J19" s="11">
        <v>500</v>
      </c>
      <c r="K19" s="11">
        <v>470</v>
      </c>
    </row>
    <row r="20" spans="1:11" ht="13.8" x14ac:dyDescent="0.3">
      <c r="A20" s="12" t="s">
        <v>34</v>
      </c>
      <c r="B20" s="13">
        <v>15</v>
      </c>
      <c r="C20" s="71">
        <v>12</v>
      </c>
      <c r="D20" s="69">
        <v>18</v>
      </c>
      <c r="E20" s="10">
        <v>20</v>
      </c>
      <c r="F20" s="10">
        <v>16</v>
      </c>
      <c r="G20" s="10">
        <v>14</v>
      </c>
      <c r="H20" s="10">
        <v>13</v>
      </c>
      <c r="I20" s="10">
        <v>15</v>
      </c>
      <c r="J20" s="10">
        <v>17</v>
      </c>
      <c r="K20" s="10">
        <v>18</v>
      </c>
    </row>
    <row r="21" spans="1:11" ht="15.6" x14ac:dyDescent="0.25">
      <c r="A21" s="14" t="s">
        <v>9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3.8" x14ac:dyDescent="0.3">
      <c r="A22" s="31" t="s">
        <v>35</v>
      </c>
      <c r="B22" s="24"/>
      <c r="C22" s="45">
        <f>C5*C4+C6*C7*C4+C18*1000</f>
        <v>15071000</v>
      </c>
      <c r="D22" s="45"/>
      <c r="E22" s="24"/>
      <c r="F22" s="24"/>
      <c r="G22" s="24"/>
      <c r="H22" s="24"/>
      <c r="I22" s="24"/>
      <c r="J22" s="24"/>
      <c r="K22" s="24"/>
    </row>
    <row r="23" spans="1:11" ht="13.8" x14ac:dyDescent="0.3">
      <c r="A23" s="32" t="s">
        <v>36</v>
      </c>
      <c r="B23" s="25"/>
      <c r="C23" s="25">
        <f>(C8*C4)+C9*1000</f>
        <v>5765000</v>
      </c>
      <c r="D23" s="25"/>
      <c r="E23" s="25"/>
      <c r="F23" s="25"/>
      <c r="G23" s="25"/>
      <c r="H23" s="25"/>
      <c r="I23" s="25"/>
      <c r="J23" s="25"/>
      <c r="K23" s="25"/>
    </row>
    <row r="24" spans="1:11" ht="13.8" x14ac:dyDescent="0.3">
      <c r="A24" s="32" t="s">
        <v>37</v>
      </c>
      <c r="B24" s="25"/>
      <c r="C24" s="25">
        <f>C23*0.34</f>
        <v>1960100.0000000002</v>
      </c>
      <c r="D24" s="25"/>
      <c r="E24" s="25"/>
      <c r="F24" s="25"/>
      <c r="G24" s="25"/>
      <c r="H24" s="25"/>
      <c r="I24" s="25"/>
      <c r="J24" s="25"/>
      <c r="K24" s="25"/>
    </row>
    <row r="25" spans="1:11" ht="13.8" x14ac:dyDescent="0.3">
      <c r="A25" s="32" t="s">
        <v>38</v>
      </c>
      <c r="B25" s="25"/>
      <c r="C25" s="25">
        <f>((C10+C11)*C12/100)*1000</f>
        <v>2662800</v>
      </c>
      <c r="D25" s="25"/>
      <c r="E25" s="25"/>
      <c r="F25" s="25"/>
      <c r="G25" s="25"/>
      <c r="H25" s="25"/>
      <c r="I25" s="25"/>
      <c r="J25" s="25"/>
      <c r="K25" s="25"/>
    </row>
    <row r="26" spans="1:11" ht="13.8" x14ac:dyDescent="0.3">
      <c r="A26" s="32" t="s">
        <v>39</v>
      </c>
      <c r="B26" s="25"/>
      <c r="C26" s="25">
        <f>(C13+C14+C15+C16+C17+C19)*1000</f>
        <v>8590000</v>
      </c>
      <c r="D26" s="25"/>
      <c r="E26" s="25"/>
      <c r="F26" s="25"/>
      <c r="G26" s="25"/>
      <c r="H26" s="25"/>
      <c r="I26" s="25"/>
      <c r="J26" s="25"/>
      <c r="K26" s="25"/>
    </row>
    <row r="27" spans="1:11" ht="13.8" x14ac:dyDescent="0.3">
      <c r="A27" s="33" t="s">
        <v>4</v>
      </c>
      <c r="B27" s="26"/>
      <c r="C27" s="26">
        <f>SUM(C22:C26)</f>
        <v>34048900</v>
      </c>
      <c r="D27" s="26"/>
      <c r="E27" s="26"/>
      <c r="F27" s="26"/>
      <c r="G27" s="26"/>
      <c r="H27" s="26"/>
      <c r="I27" s="26"/>
      <c r="J27" s="26"/>
      <c r="K27" s="26"/>
    </row>
    <row r="28" spans="1:11" ht="13.8" x14ac:dyDescent="0.3">
      <c r="A28" s="33" t="s">
        <v>20</v>
      </c>
      <c r="B28" s="27"/>
      <c r="C28" s="47">
        <f>C27/C4</f>
        <v>567.48166666666668</v>
      </c>
      <c r="D28" s="47"/>
      <c r="E28" s="27"/>
      <c r="F28" s="27"/>
      <c r="G28" s="27"/>
      <c r="H28" s="27"/>
      <c r="I28" s="27"/>
      <c r="J28" s="27"/>
      <c r="K28" s="27"/>
    </row>
    <row r="29" spans="1:11" ht="13.8" x14ac:dyDescent="0.3">
      <c r="A29" s="34" t="s">
        <v>21</v>
      </c>
      <c r="B29" s="28"/>
      <c r="C29" s="46">
        <f>C28*C20/100+C28</f>
        <v>635.57946666666669</v>
      </c>
      <c r="D29" s="46"/>
      <c r="E29" s="28"/>
      <c r="F29" s="28"/>
      <c r="G29" s="28"/>
      <c r="H29" s="28"/>
      <c r="I29" s="28"/>
      <c r="J29" s="28"/>
      <c r="K29" s="28"/>
    </row>
    <row r="30" spans="1:11" ht="27.6" x14ac:dyDescent="0.3">
      <c r="A30" s="35" t="s">
        <v>40</v>
      </c>
      <c r="B30" s="29"/>
      <c r="C30" s="29">
        <f>C9*1.34+C10*C12/100+C14+C15+C16+C19</f>
        <v>3527.9</v>
      </c>
      <c r="D30" s="29"/>
      <c r="E30" s="29"/>
      <c r="F30" s="29"/>
      <c r="G30" s="29"/>
      <c r="H30" s="29"/>
      <c r="I30" s="29"/>
      <c r="J30" s="29"/>
      <c r="K30" s="29"/>
    </row>
    <row r="31" spans="1:11" ht="15.45" customHeight="1" x14ac:dyDescent="0.3">
      <c r="A31" s="35" t="s">
        <v>22</v>
      </c>
      <c r="B31" s="29"/>
      <c r="C31" s="29">
        <f>(C27-C30*1000)/C4</f>
        <v>508.68333333333334</v>
      </c>
      <c r="D31" s="29"/>
      <c r="E31" s="29"/>
      <c r="F31" s="29"/>
      <c r="G31" s="29"/>
      <c r="H31" s="29"/>
      <c r="I31" s="29"/>
      <c r="J31" s="29"/>
      <c r="K31" s="29"/>
    </row>
    <row r="32" spans="1:11" ht="15.6" x14ac:dyDescent="0.3">
      <c r="A32" s="18" t="s">
        <v>23</v>
      </c>
      <c r="B32" s="19"/>
      <c r="C32" s="19">
        <f>C30*1000/(C29-C31)</f>
        <v>27801.477533857083</v>
      </c>
      <c r="D32" s="19"/>
      <c r="E32" s="19"/>
      <c r="F32" s="19"/>
      <c r="G32" s="19"/>
      <c r="H32" s="19"/>
      <c r="I32" s="19"/>
      <c r="J32" s="19"/>
      <c r="K32" s="19"/>
    </row>
    <row r="33" spans="1:12" ht="15.6" x14ac:dyDescent="0.25">
      <c r="A33" s="20" t="s">
        <v>24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2" ht="13.8" x14ac:dyDescent="0.3">
      <c r="A34" s="32" t="s">
        <v>11</v>
      </c>
      <c r="B34" s="22"/>
      <c r="C34" s="73">
        <f>(C22/$C$27*100)</f>
        <v>44.262810252313585</v>
      </c>
      <c r="D34" s="48"/>
      <c r="E34" s="22"/>
      <c r="F34" s="22"/>
      <c r="G34" s="22"/>
      <c r="H34" s="22"/>
      <c r="I34" s="22"/>
      <c r="J34" s="22"/>
      <c r="K34" s="22"/>
    </row>
    <row r="35" spans="1:12" ht="13.8" x14ac:dyDescent="0.3">
      <c r="A35" s="32" t="s">
        <v>12</v>
      </c>
      <c r="B35" s="23"/>
      <c r="C35" s="73">
        <f>(C23/$C$27*100)</f>
        <v>16.931530827721307</v>
      </c>
      <c r="D35" s="48"/>
      <c r="E35" s="23"/>
      <c r="F35" s="23"/>
      <c r="G35" s="23"/>
      <c r="H35" s="23"/>
      <c r="I35" s="23"/>
      <c r="J35" s="23"/>
      <c r="K35" s="23"/>
    </row>
    <row r="36" spans="1:12" ht="13.8" x14ac:dyDescent="0.3">
      <c r="A36" s="32" t="s">
        <v>10</v>
      </c>
      <c r="B36" s="23"/>
      <c r="C36" s="73">
        <f>(C24/$C$27*100)</f>
        <v>5.7567204814252451</v>
      </c>
      <c r="D36" s="48"/>
      <c r="E36" s="23"/>
      <c r="F36" s="23"/>
      <c r="G36" s="23"/>
      <c r="H36" s="23"/>
      <c r="I36" s="23"/>
      <c r="J36" s="23"/>
      <c r="K36" s="23"/>
    </row>
    <row r="37" spans="1:12" ht="13.8" x14ac:dyDescent="0.3">
      <c r="A37" s="32" t="s">
        <v>13</v>
      </c>
      <c r="B37" s="23"/>
      <c r="C37" s="73">
        <f>(C25/$C$27*100)</f>
        <v>7.8205169623688287</v>
      </c>
      <c r="D37" s="48"/>
      <c r="E37" s="23"/>
      <c r="F37" s="23"/>
      <c r="G37" s="23"/>
      <c r="H37" s="23"/>
      <c r="I37" s="23"/>
      <c r="J37" s="23"/>
      <c r="K37" s="23"/>
    </row>
    <row r="38" spans="1:12" ht="13.8" x14ac:dyDescent="0.3">
      <c r="A38" s="32" t="s">
        <v>14</v>
      </c>
      <c r="B38" s="23"/>
      <c r="C38" s="73">
        <f>(C26/$C$27*100)</f>
        <v>25.228421476171036</v>
      </c>
      <c r="D38" s="48"/>
      <c r="E38" s="23"/>
      <c r="F38" s="23"/>
      <c r="G38" s="23"/>
      <c r="H38" s="23"/>
      <c r="I38" s="23"/>
      <c r="J38" s="23"/>
      <c r="K38" s="23"/>
    </row>
    <row r="39" spans="1:12" ht="13.8" x14ac:dyDescent="0.3">
      <c r="A39" s="17" t="s">
        <v>15</v>
      </c>
      <c r="B39" s="30"/>
      <c r="C39" s="49">
        <f>SUM(C34:C38)</f>
        <v>100</v>
      </c>
      <c r="D39" s="49"/>
      <c r="E39" s="30"/>
      <c r="F39" s="30"/>
      <c r="G39" s="30"/>
      <c r="H39" s="30"/>
      <c r="I39" s="30"/>
      <c r="J39" s="30"/>
      <c r="K39" s="30"/>
    </row>
    <row r="40" spans="1:12" ht="15.6" x14ac:dyDescent="0.25">
      <c r="A40" s="44" t="s">
        <v>64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spans="1:12" ht="15.6" x14ac:dyDescent="0.25">
      <c r="A41" s="44" t="s">
        <v>65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</row>
    <row r="45" spans="1:12" ht="22.8" customHeight="1" x14ac:dyDescent="0.25">
      <c r="D45" s="55" t="s">
        <v>66</v>
      </c>
      <c r="E45" s="56">
        <f>C30</f>
        <v>3527.9</v>
      </c>
      <c r="G45" s="52"/>
      <c r="H45" s="52"/>
      <c r="I45" s="52"/>
      <c r="J45" s="52"/>
      <c r="K45" s="52"/>
      <c r="L45" s="52"/>
    </row>
    <row r="46" spans="1:12" x14ac:dyDescent="0.25">
      <c r="D46" s="55" t="s">
        <v>68</v>
      </c>
      <c r="E46" s="56">
        <f>C31</f>
        <v>508.68333333333334</v>
      </c>
      <c r="H46" s="50"/>
      <c r="I46" s="50"/>
      <c r="J46" s="50"/>
      <c r="L46" s="50"/>
    </row>
    <row r="47" spans="1:12" x14ac:dyDescent="0.25">
      <c r="D47" s="55" t="s">
        <v>67</v>
      </c>
      <c r="E47" s="57">
        <f>C32</f>
        <v>27801.477533857083</v>
      </c>
      <c r="H47" s="50"/>
      <c r="I47" s="50"/>
      <c r="J47" s="50"/>
      <c r="L47" s="50"/>
    </row>
    <row r="48" spans="1:12" x14ac:dyDescent="0.25">
      <c r="D48" s="55" t="s">
        <v>69</v>
      </c>
      <c r="E48" s="58">
        <f>C29</f>
        <v>635.57946666666669</v>
      </c>
      <c r="G48" s="51"/>
      <c r="H48" s="50"/>
      <c r="I48" s="50"/>
      <c r="J48" s="50"/>
      <c r="L48" s="50"/>
    </row>
    <row r="49" spans="4:12" x14ac:dyDescent="0.25">
      <c r="D49" s="55" t="s">
        <v>70</v>
      </c>
      <c r="E49" s="55">
        <f>C4</f>
        <v>60000</v>
      </c>
      <c r="H49" s="50"/>
      <c r="I49" s="53"/>
      <c r="J49" s="53"/>
      <c r="K49" s="54"/>
      <c r="L49" s="53"/>
    </row>
    <row r="50" spans="4:12" x14ac:dyDescent="0.25">
      <c r="H50" s="50"/>
      <c r="I50" s="50"/>
      <c r="J50" s="50"/>
      <c r="L50" s="50"/>
    </row>
    <row r="51" spans="4:12" x14ac:dyDescent="0.25">
      <c r="H51" s="50"/>
      <c r="I51" s="50"/>
      <c r="J51" s="50"/>
      <c r="L51" s="50"/>
    </row>
    <row r="52" spans="4:12" x14ac:dyDescent="0.25">
      <c r="H52" s="50"/>
      <c r="I52" s="50"/>
      <c r="J52" s="50"/>
      <c r="L52" s="50"/>
    </row>
    <row r="53" spans="4:12" x14ac:dyDescent="0.25">
      <c r="G53" s="51"/>
      <c r="H53" s="50"/>
      <c r="I53" s="50"/>
      <c r="J53" s="50"/>
      <c r="L53" s="50"/>
    </row>
    <row r="54" spans="4:12" x14ac:dyDescent="0.25">
      <c r="H54" s="50"/>
      <c r="I54" s="50"/>
      <c r="J54" s="50"/>
      <c r="L54" s="50"/>
    </row>
    <row r="55" spans="4:12" x14ac:dyDescent="0.25">
      <c r="H55" s="50"/>
      <c r="I55" s="50"/>
      <c r="J55" s="50"/>
      <c r="L55" s="50"/>
    </row>
    <row r="56" spans="4:12" x14ac:dyDescent="0.25">
      <c r="H56" s="50"/>
      <c r="I56" s="50"/>
      <c r="J56" s="50"/>
      <c r="L56" s="50"/>
    </row>
    <row r="57" spans="4:12" x14ac:dyDescent="0.25">
      <c r="H57" s="50"/>
      <c r="I57" s="53"/>
      <c r="J57" s="53"/>
      <c r="K57" s="54"/>
      <c r="L57" s="53"/>
    </row>
    <row r="58" spans="4:12" x14ac:dyDescent="0.25">
      <c r="H58" s="50"/>
    </row>
    <row r="59" spans="4:12" x14ac:dyDescent="0.25">
      <c r="H59" s="50"/>
    </row>
    <row r="60" spans="4:12" x14ac:dyDescent="0.25">
      <c r="H60" s="50"/>
    </row>
    <row r="66" spans="3:8" ht="52.8" x14ac:dyDescent="0.25">
      <c r="C66" s="59" t="s">
        <v>71</v>
      </c>
      <c r="D66" s="59" t="s">
        <v>72</v>
      </c>
      <c r="E66" s="59" t="s">
        <v>73</v>
      </c>
      <c r="F66" s="59" t="s">
        <v>74</v>
      </c>
      <c r="G66" s="59" t="s">
        <v>75</v>
      </c>
      <c r="H66" s="59" t="s">
        <v>76</v>
      </c>
    </row>
    <row r="67" spans="3:8" x14ac:dyDescent="0.25">
      <c r="C67" s="55">
        <v>10000</v>
      </c>
      <c r="D67" s="56">
        <f>$E$45</f>
        <v>3527.9</v>
      </c>
      <c r="E67" s="56">
        <f>$E$46*C67/1000</f>
        <v>5086.833333333333</v>
      </c>
      <c r="F67" s="56">
        <f>D67+E67</f>
        <v>8614.7333333333336</v>
      </c>
      <c r="G67" s="55">
        <f>$E$48*C67/1000</f>
        <v>6355.7946666666667</v>
      </c>
      <c r="H67" s="56">
        <f>G67-F67</f>
        <v>-2258.9386666666669</v>
      </c>
    </row>
    <row r="68" spans="3:8" x14ac:dyDescent="0.25">
      <c r="C68" s="55">
        <v>15000</v>
      </c>
      <c r="D68" s="56">
        <f t="shared" ref="D67:D81" si="0">$E$45</f>
        <v>3527.9</v>
      </c>
      <c r="E68" s="56">
        <f t="shared" ref="E68:E81" si="1">$E$46*C68/1000</f>
        <v>7630.25</v>
      </c>
      <c r="F68" s="56">
        <f t="shared" ref="F68:F81" si="2">D68+E68</f>
        <v>11158.15</v>
      </c>
      <c r="G68" s="55">
        <f t="shared" ref="G68:G81" si="3">$E$48*C68/1000</f>
        <v>9533.6919999999991</v>
      </c>
      <c r="H68" s="56">
        <f t="shared" ref="H68:H81" si="4">G68-F68</f>
        <v>-1624.4580000000005</v>
      </c>
    </row>
    <row r="69" spans="3:8" x14ac:dyDescent="0.25">
      <c r="C69" s="60">
        <f>E47</f>
        <v>27801.477533857083</v>
      </c>
      <c r="D69" s="61">
        <f>$E$45</f>
        <v>3527.9</v>
      </c>
      <c r="E69" s="56">
        <f t="shared" si="1"/>
        <v>14142.1482635142</v>
      </c>
      <c r="F69" s="56">
        <f t="shared" si="2"/>
        <v>17670.0482635142</v>
      </c>
      <c r="G69" s="55">
        <f t="shared" si="3"/>
        <v>17670.048263514203</v>
      </c>
      <c r="H69" s="56">
        <f t="shared" si="4"/>
        <v>0</v>
      </c>
    </row>
    <row r="70" spans="3:8" x14ac:dyDescent="0.25">
      <c r="C70" s="55">
        <v>20000</v>
      </c>
      <c r="D70" s="56">
        <f t="shared" si="0"/>
        <v>3527.9</v>
      </c>
      <c r="E70" s="56">
        <f t="shared" si="1"/>
        <v>10173.666666666666</v>
      </c>
      <c r="F70" s="56">
        <f t="shared" si="2"/>
        <v>13701.566666666666</v>
      </c>
      <c r="G70" s="55">
        <f t="shared" si="3"/>
        <v>12711.589333333333</v>
      </c>
      <c r="H70" s="56">
        <f t="shared" si="4"/>
        <v>-989.97733333333235</v>
      </c>
    </row>
    <row r="71" spans="3:8" x14ac:dyDescent="0.25">
      <c r="C71" s="55">
        <v>25000</v>
      </c>
      <c r="D71" s="56">
        <f t="shared" si="0"/>
        <v>3527.9</v>
      </c>
      <c r="E71" s="56">
        <f t="shared" si="1"/>
        <v>12717.083333333334</v>
      </c>
      <c r="F71" s="56">
        <f t="shared" si="2"/>
        <v>16244.983333333334</v>
      </c>
      <c r="G71" s="55">
        <f t="shared" si="3"/>
        <v>15889.486666666668</v>
      </c>
      <c r="H71" s="56">
        <f t="shared" si="4"/>
        <v>-355.49666666666599</v>
      </c>
    </row>
    <row r="72" spans="3:8" x14ac:dyDescent="0.25">
      <c r="C72" s="55">
        <v>30000</v>
      </c>
      <c r="D72" s="56">
        <f t="shared" si="0"/>
        <v>3527.9</v>
      </c>
      <c r="E72" s="56">
        <f t="shared" si="1"/>
        <v>15260.5</v>
      </c>
      <c r="F72" s="56">
        <f t="shared" si="2"/>
        <v>18788.400000000001</v>
      </c>
      <c r="G72" s="55">
        <f t="shared" si="3"/>
        <v>19067.383999999998</v>
      </c>
      <c r="H72" s="56">
        <f t="shared" si="4"/>
        <v>278.98399999999674</v>
      </c>
    </row>
    <row r="73" spans="3:8" x14ac:dyDescent="0.25">
      <c r="C73" s="55">
        <v>35000</v>
      </c>
      <c r="D73" s="56">
        <f t="shared" si="0"/>
        <v>3527.9</v>
      </c>
      <c r="E73" s="56">
        <f t="shared" si="1"/>
        <v>17803.916666666668</v>
      </c>
      <c r="F73" s="56">
        <f t="shared" si="2"/>
        <v>21331.816666666669</v>
      </c>
      <c r="G73" s="55">
        <f t="shared" si="3"/>
        <v>22245.281333333336</v>
      </c>
      <c r="H73" s="56">
        <f t="shared" si="4"/>
        <v>913.46466666666674</v>
      </c>
    </row>
    <row r="74" spans="3:8" x14ac:dyDescent="0.25">
      <c r="C74" s="57">
        <v>40000</v>
      </c>
      <c r="D74" s="56">
        <f t="shared" si="0"/>
        <v>3527.9</v>
      </c>
      <c r="E74" s="56">
        <f t="shared" si="1"/>
        <v>20347.333333333332</v>
      </c>
      <c r="F74" s="56">
        <f t="shared" si="2"/>
        <v>23875.233333333334</v>
      </c>
      <c r="G74" s="55">
        <f t="shared" si="3"/>
        <v>25423.178666666667</v>
      </c>
      <c r="H74" s="56">
        <f t="shared" si="4"/>
        <v>1547.9453333333331</v>
      </c>
    </row>
    <row r="75" spans="3:8" x14ac:dyDescent="0.25">
      <c r="C75" s="55">
        <v>45000</v>
      </c>
      <c r="D75" s="56">
        <f t="shared" si="0"/>
        <v>3527.9</v>
      </c>
      <c r="E75" s="56">
        <f t="shared" si="1"/>
        <v>22890.75</v>
      </c>
      <c r="F75" s="56">
        <f t="shared" si="2"/>
        <v>26418.65</v>
      </c>
      <c r="G75" s="55">
        <f t="shared" si="3"/>
        <v>28601.076000000001</v>
      </c>
      <c r="H75" s="56">
        <f t="shared" si="4"/>
        <v>2182.4259999999995</v>
      </c>
    </row>
    <row r="76" spans="3:8" x14ac:dyDescent="0.25">
      <c r="C76" s="55">
        <v>50000</v>
      </c>
      <c r="D76" s="56">
        <f t="shared" si="0"/>
        <v>3527.9</v>
      </c>
      <c r="E76" s="56">
        <f t="shared" si="1"/>
        <v>25434.166666666668</v>
      </c>
      <c r="F76" s="56">
        <f t="shared" si="2"/>
        <v>28962.066666666669</v>
      </c>
      <c r="G76" s="55">
        <f t="shared" si="3"/>
        <v>31778.973333333335</v>
      </c>
      <c r="H76" s="56">
        <f t="shared" si="4"/>
        <v>2816.9066666666658</v>
      </c>
    </row>
    <row r="77" spans="3:8" x14ac:dyDescent="0.25">
      <c r="C77" s="55">
        <v>55000</v>
      </c>
      <c r="D77" s="56">
        <f t="shared" si="0"/>
        <v>3527.9</v>
      </c>
      <c r="E77" s="56">
        <f t="shared" si="1"/>
        <v>27977.583333333332</v>
      </c>
      <c r="F77" s="56">
        <f t="shared" si="2"/>
        <v>31505.483333333334</v>
      </c>
      <c r="G77" s="55">
        <f t="shared" si="3"/>
        <v>34956.870666666669</v>
      </c>
      <c r="H77" s="56">
        <f t="shared" si="4"/>
        <v>3451.3873333333358</v>
      </c>
    </row>
    <row r="78" spans="3:8" x14ac:dyDescent="0.25">
      <c r="C78" s="55">
        <v>60000</v>
      </c>
      <c r="D78" s="56">
        <f t="shared" si="0"/>
        <v>3527.9</v>
      </c>
      <c r="E78" s="56">
        <f t="shared" si="1"/>
        <v>30521</v>
      </c>
      <c r="F78" s="56">
        <f t="shared" si="2"/>
        <v>34048.9</v>
      </c>
      <c r="G78" s="55">
        <f t="shared" si="3"/>
        <v>38134.767999999996</v>
      </c>
      <c r="H78" s="56">
        <f t="shared" si="4"/>
        <v>4085.8679999999949</v>
      </c>
    </row>
    <row r="79" spans="3:8" x14ac:dyDescent="0.25">
      <c r="C79" s="55">
        <v>65000</v>
      </c>
      <c r="D79" s="56">
        <f t="shared" si="0"/>
        <v>3527.9</v>
      </c>
      <c r="E79" s="56">
        <f t="shared" si="1"/>
        <v>33064.416666666672</v>
      </c>
      <c r="F79" s="56">
        <f t="shared" si="2"/>
        <v>36592.316666666673</v>
      </c>
      <c r="G79" s="55">
        <f t="shared" si="3"/>
        <v>41312.665333333338</v>
      </c>
      <c r="H79" s="56">
        <f t="shared" si="4"/>
        <v>4720.3486666666649</v>
      </c>
    </row>
    <row r="80" spans="3:8" x14ac:dyDescent="0.25">
      <c r="C80" s="55">
        <v>70000</v>
      </c>
      <c r="D80" s="56">
        <f t="shared" si="0"/>
        <v>3527.9</v>
      </c>
      <c r="E80" s="56">
        <f t="shared" si="1"/>
        <v>35607.833333333336</v>
      </c>
      <c r="F80" s="56">
        <f t="shared" si="2"/>
        <v>39135.733333333337</v>
      </c>
      <c r="G80" s="55">
        <f t="shared" si="3"/>
        <v>44490.562666666672</v>
      </c>
      <c r="H80" s="56">
        <f t="shared" si="4"/>
        <v>5354.8293333333349</v>
      </c>
    </row>
    <row r="81" spans="3:8" x14ac:dyDescent="0.25">
      <c r="C81" s="62">
        <f>E49</f>
        <v>60000</v>
      </c>
      <c r="D81" s="61">
        <f t="shared" si="0"/>
        <v>3527.9</v>
      </c>
      <c r="E81" s="56">
        <f t="shared" si="1"/>
        <v>30521</v>
      </c>
      <c r="F81" s="56">
        <f t="shared" si="2"/>
        <v>34048.9</v>
      </c>
      <c r="G81" s="55">
        <f t="shared" si="3"/>
        <v>38134.767999999996</v>
      </c>
      <c r="H81" s="56">
        <f t="shared" si="4"/>
        <v>4085.8679999999949</v>
      </c>
    </row>
  </sheetData>
  <mergeCells count="3">
    <mergeCell ref="A2:A3"/>
    <mergeCell ref="B2:K2"/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9"/>
  <sheetViews>
    <sheetView topLeftCell="A16" zoomScale="85" zoomScaleNormal="85" workbookViewId="0">
      <selection activeCell="A29" sqref="A29"/>
    </sheetView>
  </sheetViews>
  <sheetFormatPr defaultRowHeight="15.6" x14ac:dyDescent="0.3"/>
  <cols>
    <col min="1" max="1" width="102.21875" style="7" customWidth="1"/>
  </cols>
  <sheetData>
    <row r="1" spans="1:8" ht="18" x14ac:dyDescent="0.25">
      <c r="A1" s="2" t="s">
        <v>5</v>
      </c>
      <c r="B1" s="3"/>
      <c r="C1" s="3"/>
      <c r="D1" s="3"/>
      <c r="E1" s="3"/>
      <c r="F1" s="3"/>
      <c r="G1" s="3"/>
      <c r="H1" s="3"/>
    </row>
    <row r="2" spans="1:8" ht="36.6" customHeight="1" x14ac:dyDescent="0.25">
      <c r="A2" s="37" t="s">
        <v>42</v>
      </c>
    </row>
    <row r="3" spans="1:8" ht="31.2" x14ac:dyDescent="0.3">
      <c r="A3" s="36" t="s">
        <v>25</v>
      </c>
    </row>
    <row r="4" spans="1:8" ht="31.2" x14ac:dyDescent="0.3">
      <c r="A4" s="36" t="s">
        <v>41</v>
      </c>
    </row>
    <row r="5" spans="1:8" x14ac:dyDescent="0.3">
      <c r="A5" s="36" t="s">
        <v>43</v>
      </c>
    </row>
    <row r="6" spans="1:8" ht="31.2" x14ac:dyDescent="0.3">
      <c r="A6" s="36" t="s">
        <v>46</v>
      </c>
    </row>
    <row r="7" spans="1:8" ht="62.4" x14ac:dyDescent="0.3">
      <c r="A7" s="36" t="s">
        <v>47</v>
      </c>
    </row>
    <row r="8" spans="1:8" ht="31.2" x14ac:dyDescent="0.25">
      <c r="A8" s="37" t="s">
        <v>48</v>
      </c>
    </row>
    <row r="9" spans="1:8" x14ac:dyDescent="0.25">
      <c r="A9" s="4"/>
    </row>
    <row r="10" spans="1:8" x14ac:dyDescent="0.25">
      <c r="A10" s="37" t="s">
        <v>49</v>
      </c>
    </row>
    <row r="11" spans="1:8" ht="18" x14ac:dyDescent="0.25">
      <c r="A11" s="37" t="s">
        <v>8</v>
      </c>
    </row>
    <row r="12" spans="1:8" ht="36.6" customHeight="1" x14ac:dyDescent="0.25">
      <c r="A12" s="5"/>
    </row>
    <row r="13" spans="1:8" x14ac:dyDescent="0.25">
      <c r="A13" s="38" t="s">
        <v>50</v>
      </c>
    </row>
    <row r="14" spans="1:8" x14ac:dyDescent="0.25">
      <c r="A14" s="38" t="s">
        <v>6</v>
      </c>
    </row>
    <row r="15" spans="1:8" ht="21.6" customHeight="1" x14ac:dyDescent="0.25">
      <c r="A15" s="5"/>
    </row>
    <row r="16" spans="1:8" x14ac:dyDescent="0.25">
      <c r="A16" s="37" t="s">
        <v>51</v>
      </c>
    </row>
    <row r="17" spans="1:1" ht="78.150000000000006" customHeight="1" x14ac:dyDescent="0.25">
      <c r="A17" s="4" t="s">
        <v>56</v>
      </c>
    </row>
    <row r="18" spans="1:1" ht="58.8" customHeight="1" x14ac:dyDescent="0.25">
      <c r="A18" s="4" t="s">
        <v>52</v>
      </c>
    </row>
    <row r="19" spans="1:1" ht="18" x14ac:dyDescent="0.25">
      <c r="A19" s="37" t="s">
        <v>58</v>
      </c>
    </row>
    <row r="20" spans="1:1" x14ac:dyDescent="0.25">
      <c r="A20" s="6" t="s">
        <v>7</v>
      </c>
    </row>
    <row r="21" spans="1:1" ht="24.3" customHeight="1" x14ac:dyDescent="0.25">
      <c r="A21" s="6" t="s">
        <v>53</v>
      </c>
    </row>
    <row r="22" spans="1:1" ht="18" x14ac:dyDescent="0.25">
      <c r="A22" s="4" t="s">
        <v>54</v>
      </c>
    </row>
    <row r="23" spans="1:1" ht="18" x14ac:dyDescent="0.25">
      <c r="A23" s="4" t="s">
        <v>55</v>
      </c>
    </row>
    <row r="24" spans="1:1" ht="46.8" x14ac:dyDescent="0.3">
      <c r="A24" s="39" t="s">
        <v>57</v>
      </c>
    </row>
    <row r="25" spans="1:1" x14ac:dyDescent="0.3">
      <c r="A25" s="40" t="s">
        <v>60</v>
      </c>
    </row>
    <row r="27" spans="1:1" x14ac:dyDescent="0.3">
      <c r="A27" s="40" t="s">
        <v>59</v>
      </c>
    </row>
    <row r="28" spans="1:1" ht="62.4" x14ac:dyDescent="0.25">
      <c r="A28" s="41" t="s">
        <v>61</v>
      </c>
    </row>
    <row r="29" spans="1:1" x14ac:dyDescent="0.3">
      <c r="A29" s="42" t="s">
        <v>62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4578" r:id="rId3">
          <objectPr defaultSize="0" autoPict="0" r:id="rId4">
            <anchor moveWithCells="1" sizeWithCells="1">
              <from>
                <xdr:col>0</xdr:col>
                <xdr:colOff>2918460</xdr:colOff>
                <xdr:row>11</xdr:row>
                <xdr:rowOff>30480</xdr:rowOff>
              </from>
              <to>
                <xdr:col>0</xdr:col>
                <xdr:colOff>3497580</xdr:colOff>
                <xdr:row>12</xdr:row>
                <xdr:rowOff>15240</xdr:rowOff>
              </to>
            </anchor>
          </objectPr>
        </oleObject>
      </mc:Choice>
      <mc:Fallback>
        <oleObject progId="Equation.3" shapeId="24578" r:id="rId3"/>
      </mc:Fallback>
    </mc:AlternateContent>
    <mc:AlternateContent xmlns:mc="http://schemas.openxmlformats.org/markup-compatibility/2006">
      <mc:Choice Requires="x14">
        <oleObject progId="Equation.3" shapeId="24577" r:id="rId5">
          <objectPr defaultSize="0" autoPict="0" r:id="rId6">
            <anchor moveWithCells="1" sizeWithCells="1">
              <from>
                <xdr:col>0</xdr:col>
                <xdr:colOff>2788920</xdr:colOff>
                <xdr:row>13</xdr:row>
                <xdr:rowOff>190500</xdr:rowOff>
              </from>
              <to>
                <xdr:col>0</xdr:col>
                <xdr:colOff>3756660</xdr:colOff>
                <xdr:row>15</xdr:row>
                <xdr:rowOff>0</xdr:rowOff>
              </to>
            </anchor>
          </objectPr>
        </oleObject>
      </mc:Choice>
      <mc:Fallback>
        <oleObject progId="Equation.3" shapeId="24577" r:id="rId5"/>
      </mc:Fallback>
    </mc:AlternateContent>
    <mc:AlternateContent xmlns:mc="http://schemas.openxmlformats.org/markup-compatibility/2006">
      <mc:Choice Requires="x14">
        <oleObject progId="Equation.3" shapeId="24579" r:id="rId7">
          <objectPr defaultSize="0" autoPict="0" r:id="rId8">
            <anchor moveWithCells="1" sizeWithCells="1">
              <from>
                <xdr:col>0</xdr:col>
                <xdr:colOff>2682240</xdr:colOff>
                <xdr:row>19</xdr:row>
                <xdr:rowOff>38100</xdr:rowOff>
              </from>
              <to>
                <xdr:col>0</xdr:col>
                <xdr:colOff>3764280</xdr:colOff>
                <xdr:row>21</xdr:row>
                <xdr:rowOff>0</xdr:rowOff>
              </to>
            </anchor>
          </objectPr>
        </oleObject>
      </mc:Choice>
      <mc:Fallback>
        <oleObject progId="Equation.3" shapeId="24579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" zoomScale="70" zoomScaleNormal="70" workbookViewId="0">
      <selection activeCell="G50" sqref="G50"/>
    </sheetView>
  </sheetViews>
  <sheetFormatPr defaultRowHeight="13.2" x14ac:dyDescent="0.25"/>
  <cols>
    <col min="1" max="1" width="14.5546875" customWidth="1"/>
    <col min="2" max="2" width="11.21875" customWidth="1"/>
    <col min="3" max="3" width="12" customWidth="1"/>
    <col min="4" max="4" width="9" customWidth="1"/>
    <col min="5" max="5" width="13.109375" customWidth="1"/>
    <col min="6" max="6" width="15.77734375" customWidth="1"/>
    <col min="7" max="8" width="18.77734375" customWidth="1"/>
  </cols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 данные решение</vt:lpstr>
      <vt:lpstr>Порядок работы</vt:lpstr>
      <vt:lpstr>График (пример)</vt:lpstr>
    </vt:vector>
  </TitlesOfParts>
  <Company>BSTU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Бабашинский Глеб</dc:creator>
  <cp:lastModifiedBy>Vi U</cp:lastModifiedBy>
  <cp:lastPrinted>2023-09-21T10:26:08Z</cp:lastPrinted>
  <dcterms:created xsi:type="dcterms:W3CDTF">2006-11-30T08:02:26Z</dcterms:created>
  <dcterms:modified xsi:type="dcterms:W3CDTF">2026-04-24T09:23:53Z</dcterms:modified>
</cp:coreProperties>
</file>