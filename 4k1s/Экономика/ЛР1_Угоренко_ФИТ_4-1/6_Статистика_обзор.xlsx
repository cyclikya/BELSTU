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Число зарегистрированных" sheetId="1" state="visible" r:id="rId1"/>
    <sheet xmlns:r="http://schemas.openxmlformats.org/officeDocument/2006/relationships" name="Организационно-правовые формы" sheetId="2" state="visible" r:id="rId2"/>
    <sheet xmlns:r="http://schemas.openxmlformats.org/officeDocument/2006/relationships" name="Формы регистрации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C00000"/>
      <sz val="11"/>
      <scheme val="minor"/>
    </font>
    <font>
      <name val="Calibri"/>
      <b val="1"/>
      <sz val="11"/>
    </font>
    <font>
      <name val="Calibri"/>
      <b val="1"/>
      <sz val="12"/>
    </font>
    <font>
      <name val="Calibri"/>
      <b val="1"/>
      <sz val="11"/>
    </font>
    <font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/>
    </xf>
    <xf numFmtId="0" fontId="3" fillId="0" borderId="0" pivotButton="0" quotePrefix="0" xfId="0"/>
    <xf numFmtId="9" fontId="0" fillId="0" borderId="1" pivotButton="0" quotePrefix="0" xfId="0"/>
    <xf numFmtId="0" fontId="1" fillId="0" borderId="1" applyAlignment="1" pivotButton="0" quotePrefix="0" xfId="0">
      <alignment horizontal="center"/>
    </xf>
    <xf numFmtId="1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2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vertical="top"/>
    </xf>
    <xf numFmtId="0" fontId="7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Число зарегистрированных ЮЛ по регионам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4169191919191919"/>
          <y val="0.1023055555555556"/>
          <w val="0.8701136363636364"/>
          <h val="0.7883333333333333"/>
        </manualLayout>
      </layout>
      <barChart>
        <barDir val="col"/>
        <grouping val="clustered"/>
        <varyColors val="1"/>
        <ser>
          <idx val="0"/>
          <order val="0"/>
          <tx>
            <strRef>
              <f>'Число зарегистрированных'!$B$3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'Число зарегистрированных'!$A$5:$A$11</f>
              <strCache>
                <ptCount val="7"/>
                <pt idx="0">
                  <v>Брестская область</v>
                </pt>
                <pt idx="1">
                  <v>Витебская область</v>
                </pt>
                <pt idx="2">
                  <v>Гомельская область</v>
                </pt>
                <pt idx="3">
                  <v>Гродненская область</v>
                </pt>
                <pt idx="4">
                  <v>Минская область</v>
                </pt>
                <pt idx="5">
                  <v>Могилевская область</v>
                </pt>
                <pt idx="6">
                  <v>Минск</v>
                </pt>
              </strCache>
            </strRef>
          </cat>
          <val>
            <numRef>
              <f>'Число зарегистрированных'!$B$5:$B$11</f>
              <numCache>
                <formatCode>General</formatCode>
                <ptCount val="8"/>
                <pt idx="0">
                  <v>9708</v>
                </pt>
                <pt idx="1">
                  <v>759</v>
                </pt>
                <pt idx="2">
                  <v>586</v>
                </pt>
                <pt idx="3">
                  <v>687</v>
                </pt>
                <pt idx="4">
                  <v>596</v>
                </pt>
                <pt idx="5">
                  <v>1595</v>
                </pt>
                <pt idx="6">
                  <v>586</v>
                </pt>
                <pt idx="7">
                  <v>4851</v>
                </pt>
              </numCache>
            </numRef>
          </val>
        </ser>
        <ser>
          <idx val="1"/>
          <order val="1"/>
          <tx>
            <strRef>
              <f>'Число зарегистрированных'!$C$3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'Число зарегистрированных'!$A$5:$A$11</f>
              <strCache>
                <ptCount val="7"/>
                <pt idx="0">
                  <v>Брестская область</v>
                </pt>
                <pt idx="1">
                  <v>Витебская область</v>
                </pt>
                <pt idx="2">
                  <v>Гомельская область</v>
                </pt>
                <pt idx="3">
                  <v>Гродненская область</v>
                </pt>
                <pt idx="4">
                  <v>Минская область</v>
                </pt>
                <pt idx="5">
                  <v>Могилевская область</v>
                </pt>
                <pt idx="6">
                  <v>Минск</v>
                </pt>
              </strCache>
            </strRef>
          </cat>
          <val>
            <numRef>
              <f>'Число зарегистрированных'!$C$5:$C$11</f>
              <numCache>
                <formatCode>General</formatCode>
                <ptCount val="8"/>
                <pt idx="0">
                  <v>9831</v>
                </pt>
                <pt idx="1">
                  <v>768</v>
                </pt>
                <pt idx="2">
                  <v>621</v>
                </pt>
                <pt idx="3">
                  <v>649</v>
                </pt>
                <pt idx="4">
                  <v>594</v>
                </pt>
                <pt idx="5">
                  <v>1529</v>
                </pt>
                <pt idx="6">
                  <v>542</v>
                </pt>
                <pt idx="7">
                  <v>5101</v>
                </pt>
              </numCache>
            </numRef>
          </val>
        </ser>
        <ser>
          <idx val="2"/>
          <order val="2"/>
          <tx>
            <strRef>
              <f>'Число зарегистрированных'!$D$3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'Число зарегистрированных'!$A$5:$A$11</f>
              <strCache>
                <ptCount val="7"/>
                <pt idx="0">
                  <v>Брестская область</v>
                </pt>
                <pt idx="1">
                  <v>Витебская область</v>
                </pt>
                <pt idx="2">
                  <v>Гомельская область</v>
                </pt>
                <pt idx="3">
                  <v>Гродненская область</v>
                </pt>
                <pt idx="4">
                  <v>Минская область</v>
                </pt>
                <pt idx="5">
                  <v>Могилевская область</v>
                </pt>
                <pt idx="6">
                  <v>Минск</v>
                </pt>
              </strCache>
            </strRef>
          </cat>
          <val>
            <numRef>
              <f>'Число зарегистрированных'!$D$5:$D$11</f>
              <numCache>
                <formatCode>General</formatCode>
                <ptCount val="8"/>
                <pt idx="0">
                  <v>12137</v>
                </pt>
                <pt idx="1">
                  <v>970</v>
                </pt>
                <pt idx="2">
                  <v>767</v>
                </pt>
                <pt idx="3">
                  <v>827</v>
                </pt>
                <pt idx="4">
                  <v>754</v>
                </pt>
                <pt idx="5">
                  <v>1776</v>
                </pt>
                <pt idx="6">
                  <v>741</v>
                </pt>
                <pt idx="7">
                  <v>6277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Регион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Единиц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Число зарегистрированных ИП по регионам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3688131313131313"/>
          <y val="0.1128888888888889"/>
          <w val="0.8893560606060606"/>
          <h val="0.795388888888889"/>
        </manualLayout>
      </layout>
      <barChart>
        <barDir val="col"/>
        <grouping val="clustered"/>
        <varyColors val="1"/>
        <ser>
          <idx val="0"/>
          <order val="0"/>
          <tx>
            <strRef>
              <f>'Число зарегистрированных'!$G$3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'Число зарегистрированных'!$A$5:$A$11</f>
              <strCache>
                <ptCount val="7"/>
                <pt idx="0">
                  <v>Брестская область</v>
                </pt>
                <pt idx="1">
                  <v>Витебская область</v>
                </pt>
                <pt idx="2">
                  <v>Гомельская область</v>
                </pt>
                <pt idx="3">
                  <v>Гродненская область</v>
                </pt>
                <pt idx="4">
                  <v>Минская область</v>
                </pt>
                <pt idx="5">
                  <v>Могилевская область</v>
                </pt>
                <pt idx="6">
                  <v>Минск</v>
                </pt>
              </strCache>
            </strRef>
          </cat>
          <val>
            <numRef>
              <f>'Число зарегистрированных'!$G$5:$G$11</f>
              <numCache>
                <formatCode>General</formatCode>
                <ptCount val="8"/>
                <pt idx="0">
                  <v>29070</v>
                </pt>
                <pt idx="1">
                  <v>4270</v>
                </pt>
                <pt idx="2">
                  <v>2905</v>
                </pt>
                <pt idx="3">
                  <v>3661</v>
                </pt>
                <pt idx="4">
                  <v>3841</v>
                </pt>
                <pt idx="5">
                  <v>5433</v>
                </pt>
                <pt idx="6">
                  <v>3055</v>
                </pt>
                <pt idx="7">
                  <v>5905</v>
                </pt>
              </numCache>
            </numRef>
          </val>
        </ser>
        <ser>
          <idx val="1"/>
          <order val="1"/>
          <tx>
            <strRef>
              <f>'Число зарегистрированных'!$H$3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'Число зарегистрированных'!$A$5:$A$11</f>
              <strCache>
                <ptCount val="7"/>
                <pt idx="0">
                  <v>Брестская область</v>
                </pt>
                <pt idx="1">
                  <v>Витебская область</v>
                </pt>
                <pt idx="2">
                  <v>Гомельская область</v>
                </pt>
                <pt idx="3">
                  <v>Гродненская область</v>
                </pt>
                <pt idx="4">
                  <v>Минская область</v>
                </pt>
                <pt idx="5">
                  <v>Могилевская область</v>
                </pt>
                <pt idx="6">
                  <v>Минск</v>
                </pt>
              </strCache>
            </strRef>
          </cat>
          <val>
            <numRef>
              <f>'Число зарегистрированных'!$H$5:$H$11</f>
              <numCache>
                <formatCode>General</formatCode>
                <ptCount val="8"/>
                <pt idx="0">
                  <v>15498</v>
                </pt>
                <pt idx="1">
                  <v>2805</v>
                </pt>
                <pt idx="2">
                  <v>1975</v>
                </pt>
                <pt idx="3">
                  <v>2332</v>
                </pt>
                <pt idx="4">
                  <v>2354</v>
                </pt>
                <pt idx="5">
                  <v>4001</v>
                </pt>
                <pt idx="6">
                  <v>2031</v>
                </pt>
              </numCache>
            </numRef>
          </val>
        </ser>
        <ser>
          <idx val="2"/>
          <order val="2"/>
          <tx>
            <strRef>
              <f>'Число зарегистрированных'!$I$3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'Число зарегистрированных'!$A$5:$A$11</f>
              <strCache>
                <ptCount val="7"/>
                <pt idx="0">
                  <v>Брестская область</v>
                </pt>
                <pt idx="1">
                  <v>Витебская область</v>
                </pt>
                <pt idx="2">
                  <v>Гомельская область</v>
                </pt>
                <pt idx="3">
                  <v>Гродненская область</v>
                </pt>
                <pt idx="4">
                  <v>Минская область</v>
                </pt>
                <pt idx="5">
                  <v>Могилевская область</v>
                </pt>
                <pt idx="6">
                  <v>Минск</v>
                </pt>
              </strCache>
            </strRef>
          </cat>
          <val>
            <numRef>
              <f>'Число зарегистрированных'!$I$5:$I$11</f>
              <numCache>
                <formatCode>General</formatCode>
                <ptCount val="8"/>
                <pt idx="0">
                  <v>15939</v>
                </pt>
                <pt idx="1">
                  <v>3072</v>
                </pt>
                <pt idx="2">
                  <v>1896</v>
                </pt>
                <pt idx="3">
                  <v>2358</v>
                </pt>
                <pt idx="4">
                  <v>2204</v>
                </pt>
                <pt idx="5">
                  <v>4441</v>
                </pt>
                <pt idx="6">
                  <v>1968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Регион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Единиц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Динамика регистрации по Республике Беларусь, 2021–2023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5452020202020202"/>
          <y val="0.1340555555555556"/>
          <w val="0.8412500000000001"/>
          <h val="0.7918611111111111"/>
        </manualLayout>
      </layout>
      <lineChart>
        <grouping val="standard"/>
        <varyColors val="1"/>
        <ser>
          <idx val="0"/>
          <order val="0"/>
          <tx>
            <strRef>
              <f>'Число зарегистрированных'!$N$4</f>
              <strCache>
                <ptCount val="1"/>
                <pt idx="0">
                  <v>ЮЛ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'Число зарегистрированных'!$O$3:$Q$3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'Число зарегистрированных'!$O$4:$Q$4</f>
              <numCache>
                <formatCode>General</formatCode>
                <ptCount val="3"/>
                <pt idx="0">
                  <v>9708</v>
                </pt>
                <pt idx="1">
                  <v>9831</v>
                </pt>
                <pt idx="2">
                  <v>12137</v>
                </pt>
              </numCache>
            </numRef>
          </val>
          <smooth val="1"/>
        </ser>
        <ser>
          <idx val="1"/>
          <order val="1"/>
          <tx>
            <strRef>
              <f>'Число зарегистрированных'!$N$5</f>
              <strCache>
                <ptCount val="1"/>
                <pt idx="0">
                  <v>ИП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'Число зарегистрированных'!$O$3:$Q$3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'Число зарегистрированных'!$O$5:$Q$5</f>
              <numCache>
                <formatCode>General</formatCode>
                <ptCount val="3"/>
                <pt idx="0">
                  <v>29070</v>
                </pt>
                <pt idx="1">
                  <v>15498</v>
                </pt>
                <pt idx="2">
                  <v>15939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Год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Единиц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Число зарегистрированных ООО по годам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'Организационно-правовые формы'!$A$3</f>
              <strCache>
                <ptCount val="1"/>
                <pt idx="0">
                  <v>ООО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'Организационно-правовые формы'!$B$2:$D$2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'Организационно-правовые формы'!$B$3:$D$3</f>
              <numCache>
                <formatCode>General</formatCode>
                <ptCount val="3"/>
                <pt idx="0">
                  <v>7968</v>
                </pt>
                <pt idx="1">
                  <v>8113</v>
                </pt>
                <pt idx="2">
                  <v>10346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Год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Количество, единиц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Прочие организационно-правовые формы (без ООО)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'Организационно-правовые формы'!$B$2</f>
              <strCache>
                <ptCount val="1"/>
                <pt idx="0">
                  <v>2021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'Организационно-правовые формы'!$A$4:$A$9</f>
              <strCache>
                <ptCount val="6"/>
                <pt idx="0">
                  <v>ОДО</v>
                </pt>
                <pt idx="1">
                  <v xml:space="preserve">УП </v>
                </pt>
                <pt idx="2">
                  <v>ЗАО и ОАО</v>
                </pt>
                <pt idx="3">
                  <v>Учреждения</v>
                </pt>
                <pt idx="4">
                  <v>КФХ</v>
                </pt>
                <pt idx="5">
                  <v>Иные</v>
                </pt>
              </strCache>
            </strRef>
          </cat>
          <val>
            <numRef>
              <f>'Организационно-правовые формы'!$B$4:$B$9</f>
              <numCache>
                <formatCode>General</formatCode>
                <ptCount val="6"/>
                <pt idx="0">
                  <v>3</v>
                </pt>
                <pt idx="1">
                  <v>856</v>
                </pt>
                <pt idx="2">
                  <v>47</v>
                </pt>
                <pt idx="3">
                  <v>130</v>
                </pt>
                <pt idx="4">
                  <v>309</v>
                </pt>
                <pt idx="5">
                  <v>395</v>
                </pt>
              </numCache>
            </numRef>
          </val>
        </ser>
        <ser>
          <idx val="1"/>
          <order val="1"/>
          <tx>
            <strRef>
              <f>'Организационно-правовые формы'!$C$2</f>
              <strCache>
                <ptCount val="1"/>
                <pt idx="0">
                  <v>2022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'Организационно-правовые формы'!$A$4:$A$9</f>
              <strCache>
                <ptCount val="6"/>
                <pt idx="0">
                  <v>ОДО</v>
                </pt>
                <pt idx="1">
                  <v xml:space="preserve">УП </v>
                </pt>
                <pt idx="2">
                  <v>ЗАО и ОАО</v>
                </pt>
                <pt idx="3">
                  <v>Учреждения</v>
                </pt>
                <pt idx="4">
                  <v>КФХ</v>
                </pt>
                <pt idx="5">
                  <v>Иные</v>
                </pt>
              </strCache>
            </strRef>
          </cat>
          <val>
            <numRef>
              <f>'Организационно-правовые формы'!$C$4:$C$9</f>
              <numCache>
                <formatCode>General</formatCode>
                <ptCount val="6"/>
                <pt idx="0">
                  <v>6</v>
                </pt>
                <pt idx="1">
                  <v>950</v>
                </pt>
                <pt idx="2">
                  <v>29</v>
                </pt>
                <pt idx="3">
                  <v>86</v>
                </pt>
                <pt idx="4">
                  <v>285</v>
                </pt>
                <pt idx="5">
                  <v>362</v>
                </pt>
              </numCache>
            </numRef>
          </val>
        </ser>
        <ser>
          <idx val="2"/>
          <order val="2"/>
          <tx>
            <strRef>
              <f>'Организационно-правовые формы'!$D$2</f>
              <strCache>
                <ptCount val="1"/>
                <pt idx="0">
                  <v>2023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'Организационно-правовые формы'!$A$4:$A$9</f>
              <strCache>
                <ptCount val="6"/>
                <pt idx="0">
                  <v>ОДО</v>
                </pt>
                <pt idx="1">
                  <v xml:space="preserve">УП </v>
                </pt>
                <pt idx="2">
                  <v>ЗАО и ОАО</v>
                </pt>
                <pt idx="3">
                  <v>Учреждения</v>
                </pt>
                <pt idx="4">
                  <v>КФХ</v>
                </pt>
                <pt idx="5">
                  <v>Иные</v>
                </pt>
              </strCache>
            </strRef>
          </cat>
          <val>
            <numRef>
              <f>'Организационно-правовые формы'!$D$4:$D$9</f>
              <numCache>
                <formatCode>General</formatCode>
                <ptCount val="6"/>
                <pt idx="0">
                  <v>12</v>
                </pt>
                <pt idx="1">
                  <v>1159</v>
                </pt>
                <pt idx="2">
                  <v>35</v>
                </pt>
                <pt idx="3">
                  <v>69</v>
                </pt>
                <pt idx="4">
                  <v>210</v>
                </pt>
                <pt idx="5">
                  <v>306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Организационно-правовая форма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Количество, единиц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Доля ООО в общем числе зарегистрированных ЮЛ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'Организационно-правовые формы'!$A$14</f>
              <strCache>
                <ptCount val="1"/>
                <pt idx="0">
                  <v>Доля ООО, 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'Организационно-правовые формы'!$B$13:$D$13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'Организационно-правовые формы'!$B$14:$D$14</f>
              <numCache>
                <formatCode>0.0</formatCode>
                <ptCount val="3"/>
                <pt idx="0">
                  <v>82.07663782447466</v>
                </pt>
                <pt idx="1">
                  <v>82.52466687010477</v>
                </pt>
                <pt idx="2">
                  <v>85.24347037983027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Год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Доля, %</a:t>
                </a:r>
              </a:p>
            </rich>
          </tx>
          <overlay val="1"/>
        </title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Согласование наименований ЮЛ: бумажная и электронная форма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'Формы регистрации'!$A$3</f>
              <strCache>
                <ptCount val="1"/>
                <pt idx="0">
                  <v>В бумажном виде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'Формы регистрации'!$B$2:$D$2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регистрации'!$B$3:$D$3</f>
              <numCache>
                <formatCode>General</formatCode>
                <ptCount val="3"/>
                <pt idx="0">
                  <v>2293</v>
                </pt>
                <pt idx="1">
                  <v>3127</v>
                </pt>
                <pt idx="2">
                  <v>2718</v>
                </pt>
              </numCache>
            </numRef>
          </val>
        </ser>
        <ser>
          <idx val="1"/>
          <order val="1"/>
          <tx>
            <strRef>
              <f>'Формы регистрации'!$A$4</f>
              <strCache>
                <ptCount val="1"/>
                <pt idx="0">
                  <v>В электронном виде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'Формы регистрации'!$B$2:$D$2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регистрации'!$B$4:$D$4</f>
              <numCache>
                <formatCode>General</formatCode>
                <ptCount val="3"/>
                <pt idx="0">
                  <v>25476</v>
                </pt>
                <pt idx="1">
                  <v>33359</v>
                </pt>
                <pt idx="2">
                  <v>31316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Год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Количество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Электронная регистрация и ликвидация субъектов хозяйствования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'Формы регистрации'!$A$9</f>
              <strCache>
                <ptCount val="1"/>
                <pt idx="0">
                  <v>Регистрация ЮЛ, в т.ч. изменений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'Формы регистрации'!$B$8:$D$8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регистрации'!$B$9:$D$9</f>
              <numCache>
                <formatCode>General</formatCode>
                <ptCount val="3"/>
                <pt idx="0">
                  <v>3811</v>
                </pt>
                <pt idx="1">
                  <v>4043</v>
                </pt>
                <pt idx="2">
                  <v>4439</v>
                </pt>
              </numCache>
            </numRef>
          </val>
        </ser>
        <ser>
          <idx val="1"/>
          <order val="1"/>
          <tx>
            <strRef>
              <f>'Формы регистрации'!$A$10</f>
              <strCache>
                <ptCount val="1"/>
                <pt idx="0">
                  <v>Регистрация ИП, в т.ч. изменений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'Формы регистрации'!$B$8:$D$8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регистрации'!$B$10:$D$10</f>
              <numCache>
                <formatCode>General</formatCode>
                <ptCount val="3"/>
                <pt idx="0">
                  <v>875</v>
                </pt>
                <pt idx="1">
                  <v>868</v>
                </pt>
                <pt idx="2">
                  <v>692</v>
                </pt>
              </numCache>
            </numRef>
          </val>
        </ser>
        <ser>
          <idx val="2"/>
          <order val="2"/>
          <tx>
            <strRef>
              <f>'Формы регистрации'!$A$11</f>
              <strCache>
                <ptCount val="1"/>
                <pt idx="0">
                  <v>Уведомления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'Формы регистрации'!$B$8:$D$8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регистрации'!$B$11:$D$11</f>
              <numCache>
                <formatCode>General</formatCode>
                <ptCount val="3"/>
                <pt idx="0">
                  <v>5419</v>
                </pt>
                <pt idx="1">
                  <v>6221</v>
                </pt>
                <pt idx="2">
                  <v>7416</v>
                </pt>
              </numCache>
            </numRef>
          </val>
        </ser>
        <ser>
          <idx val="3"/>
          <order val="3"/>
          <tx>
            <strRef>
              <f>'Формы регистрации'!$A$12</f>
              <strCache>
                <ptCount val="1"/>
                <pt idx="0">
                  <v>Ликвидация ЮЛ, ИП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'Формы регистрации'!$B$8:$D$8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регистрации'!$B$12:$D$12</f>
              <numCache>
                <formatCode>General</formatCode>
                <ptCount val="3"/>
                <pt idx="0">
                  <v>1435</v>
                </pt>
                <pt idx="1">
                  <v>1878</v>
                </pt>
                <pt idx="2">
                  <v>1493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Год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Количество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ru-RU"/>
              <a:t>Выписки из ЕГР: всего и в электронном виде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'Формы регистрации'!$A$22</f>
              <strCache>
                <ptCount val="1"/>
                <pt idx="0">
                  <v>Выписок в эл виде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'Формы регистрации'!$B$21:$D$21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регистрации'!$B$22:$D$22</f>
              <numCache>
                <formatCode>0</formatCode>
                <ptCount val="3"/>
                <pt idx="0">
                  <v>17187.72</v>
                </pt>
                <pt idx="1">
                  <v>15867.15</v>
                </pt>
                <pt idx="2">
                  <v>16445.22</v>
                </pt>
              </numCache>
            </numRef>
          </val>
          <smooth val="1"/>
        </ser>
        <ser>
          <idx val="1"/>
          <order val="1"/>
          <tx>
            <strRef>
              <f>'Формы регистрации'!$A$23</f>
              <strCache>
                <ptCount val="1"/>
                <pt idx="0">
                  <v>Общее количество выписок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'Формы регистрации'!$B$21:$D$21</f>
              <numCache>
                <formatCode>General</formatCode>
                <ptCount val="3"/>
                <pt idx="0">
                  <v>2021</v>
                </pt>
                <pt idx="1">
                  <v>2022</v>
                </pt>
                <pt idx="2">
                  <v>2023</v>
                </pt>
              </numCache>
            </numRef>
          </cat>
          <val>
            <numRef>
              <f>'Формы регистрации'!$B$23:$D$23</f>
              <numCache>
                <formatCode>General</formatCode>
                <ptCount val="3"/>
                <pt idx="0">
                  <v>26042</v>
                </pt>
                <pt idx="1">
                  <v>24411</v>
                </pt>
                <pt idx="2">
                  <v>24917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Год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ru-RU"/>
                  <a:t>Количество</a:t>
                </a:r>
              </a:p>
            </rich>
          </tx>
          <overlay val="1"/>
        </title>
        <numFmt formatCode="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57</row>
      <rowOff>0</rowOff>
    </from>
    <ext cx="79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25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45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topLeftCell="A64" zoomScaleNormal="100" workbookViewId="0">
      <selection activeCell="D96" sqref="D96"/>
    </sheetView>
  </sheetViews>
  <sheetFormatPr baseColWidth="8" defaultColWidth="8.85546875" defaultRowHeight="15"/>
  <cols>
    <col width="24" customWidth="1" min="1" max="1"/>
    <col width="12.28515625" customWidth="1" min="5" max="6"/>
    <col width="12.28515625" customWidth="1" min="10" max="10"/>
    <col width="11.85546875" customWidth="1" min="11" max="11"/>
  </cols>
  <sheetData>
    <row r="1">
      <c r="A1" s="1" t="inlineStr">
        <is>
          <t>Число зарегистрированных субъектов хозяйствования итого</t>
        </is>
      </c>
    </row>
    <row r="2">
      <c r="A2" s="3" t="n"/>
      <c r="B2" s="14" t="inlineStr">
        <is>
          <t>ЮЛ</t>
        </is>
      </c>
      <c r="C2" s="15" t="n"/>
      <c r="D2" s="15" t="n"/>
      <c r="E2" s="15" t="n"/>
      <c r="F2" s="16" t="n"/>
      <c r="G2" s="17" t="inlineStr">
        <is>
          <t>ИП</t>
        </is>
      </c>
      <c r="H2" s="15" t="n"/>
      <c r="I2" s="15" t="n"/>
      <c r="J2" s="15" t="n"/>
      <c r="K2" s="16" t="n"/>
    </row>
    <row r="3">
      <c r="A3" s="3" t="n"/>
      <c r="B3" s="17" t="n">
        <v>2021</v>
      </c>
      <c r="C3" s="17" t="n">
        <v>2022</v>
      </c>
      <c r="D3" s="17" t="n">
        <v>2023</v>
      </c>
      <c r="E3" s="17" t="inlineStr">
        <is>
          <t>2022/2021, %</t>
        </is>
      </c>
      <c r="F3" s="17" t="inlineStr">
        <is>
          <t>2023/2022, %</t>
        </is>
      </c>
      <c r="G3" s="17" t="n">
        <v>2021</v>
      </c>
      <c r="H3" s="17" t="n">
        <v>2022</v>
      </c>
      <c r="I3" s="17" t="n">
        <v>2023</v>
      </c>
      <c r="J3" s="17" t="inlineStr">
        <is>
          <t>2022/2021, %</t>
        </is>
      </c>
      <c r="K3" s="17" t="inlineStr">
        <is>
          <t>2023/2022, %</t>
        </is>
      </c>
      <c r="N3" t="inlineStr">
        <is>
          <t>Всего РБ</t>
        </is>
      </c>
      <c r="O3" t="n">
        <v>2021</v>
      </c>
      <c r="P3" t="n">
        <v>2022</v>
      </c>
      <c r="Q3" t="n">
        <v>2023</v>
      </c>
    </row>
    <row r="4">
      <c r="A4" s="3" t="inlineStr">
        <is>
          <t>Всего РБ</t>
        </is>
      </c>
      <c r="B4" s="2" t="n">
        <v>9708</v>
      </c>
      <c r="C4" s="2" t="n">
        <v>9831</v>
      </c>
      <c r="D4" s="2" t="n">
        <v>12137</v>
      </c>
      <c r="E4" s="4">
        <f>IF(OR(B4="",C4=""),"",C4/B4*100)</f>
        <v/>
      </c>
      <c r="F4" s="4">
        <f>IF(OR(C4="",D4=""),"",D4/C4*100)</f>
        <v/>
      </c>
      <c r="G4" s="2" t="n">
        <v>29070</v>
      </c>
      <c r="H4" s="2" t="n">
        <v>15498</v>
      </c>
      <c r="I4" s="2" t="n">
        <v>15939</v>
      </c>
      <c r="J4" s="4">
        <f>IF(OR(G4="",H4=""),"",H4/G4*100)</f>
        <v/>
      </c>
      <c r="K4" s="4">
        <f>IF(OR(H4="",I4=""),"",I4/H4*100)</f>
        <v/>
      </c>
      <c r="N4" t="inlineStr">
        <is>
          <t>ЮЛ</t>
        </is>
      </c>
      <c r="O4" t="n">
        <v>9708</v>
      </c>
      <c r="P4" t="n">
        <v>9831</v>
      </c>
      <c r="Q4" t="n">
        <v>12137</v>
      </c>
    </row>
    <row r="5">
      <c r="A5" s="3" t="inlineStr">
        <is>
          <t>Брестская область</t>
        </is>
      </c>
      <c r="B5" s="2" t="n">
        <v>759</v>
      </c>
      <c r="C5" s="2" t="n">
        <v>768</v>
      </c>
      <c r="D5" s="2" t="n">
        <v>970</v>
      </c>
      <c r="E5" s="4">
        <f>IF(OR(B5="",C5=""),"",C5/B5*100)</f>
        <v/>
      </c>
      <c r="F5" s="4">
        <f>IF(OR(C5="",D5=""),"",D5/C5*100)</f>
        <v/>
      </c>
      <c r="G5" s="2" t="n">
        <v>4270</v>
      </c>
      <c r="H5" s="2" t="n">
        <v>2805</v>
      </c>
      <c r="I5" s="2" t="n">
        <v>3072</v>
      </c>
      <c r="J5" s="4">
        <f>IF(OR(G5="",H5=""),"",H5/G5*100)</f>
        <v/>
      </c>
      <c r="K5" s="4">
        <f>IF(OR(H5="",I5=""),"",I5/H5*100)</f>
        <v/>
      </c>
      <c r="N5" t="inlineStr">
        <is>
          <t>ИП</t>
        </is>
      </c>
      <c r="O5" t="n">
        <v>29070</v>
      </c>
      <c r="P5" t="n">
        <v>15498</v>
      </c>
      <c r="Q5" t="n">
        <v>15939</v>
      </c>
    </row>
    <row r="6">
      <c r="A6" s="3" t="inlineStr">
        <is>
          <t>Витебская область</t>
        </is>
      </c>
      <c r="B6" s="2" t="n">
        <v>586</v>
      </c>
      <c r="C6" s="2" t="n">
        <v>621</v>
      </c>
      <c r="D6" s="2" t="n">
        <v>767</v>
      </c>
      <c r="E6" s="4">
        <f>IF(OR(B6="",C6=""),"",C6/B6*100)</f>
        <v/>
      </c>
      <c r="F6" s="4">
        <f>IF(OR(C6="",D6=""),"",D6/C6*100)</f>
        <v/>
      </c>
      <c r="G6" s="2" t="n">
        <v>2905</v>
      </c>
      <c r="H6" s="2" t="n">
        <v>1975</v>
      </c>
      <c r="I6" s="2" t="n">
        <v>1896</v>
      </c>
      <c r="J6" s="4">
        <f>IF(OR(G6="",H6=""),"",H6/G6*100)</f>
        <v/>
      </c>
      <c r="K6" s="4">
        <f>IF(OR(H6="",I6=""),"",I6/H6*100)</f>
        <v/>
      </c>
    </row>
    <row r="7">
      <c r="A7" s="3" t="inlineStr">
        <is>
          <t>Гомельская область</t>
        </is>
      </c>
      <c r="B7" s="2" t="n">
        <v>687</v>
      </c>
      <c r="C7" s="2" t="n">
        <v>649</v>
      </c>
      <c r="D7" s="2" t="n">
        <v>827</v>
      </c>
      <c r="E7" s="4">
        <f>IF(OR(B7="",C7=""),"",C7/B7*100)</f>
        <v/>
      </c>
      <c r="F7" s="4">
        <f>IF(OR(C7="",D7=""),"",D7/C7*100)</f>
        <v/>
      </c>
      <c r="G7" s="2" t="n">
        <v>3661</v>
      </c>
      <c r="H7" s="2" t="n">
        <v>2332</v>
      </c>
      <c r="I7" s="2" t="n">
        <v>2358</v>
      </c>
      <c r="J7" s="4">
        <f>IF(OR(G7="",H7=""),"",H7/G7*100)</f>
        <v/>
      </c>
      <c r="K7" s="4">
        <f>IF(OR(H7="",I7=""),"",I7/H7*100)</f>
        <v/>
      </c>
    </row>
    <row r="8">
      <c r="A8" s="3" t="inlineStr">
        <is>
          <t>Гродненская область</t>
        </is>
      </c>
      <c r="B8" s="2" t="n">
        <v>596</v>
      </c>
      <c r="C8" s="2" t="n">
        <v>594</v>
      </c>
      <c r="D8" s="2" t="n">
        <v>754</v>
      </c>
      <c r="E8" s="4">
        <f>IF(OR(B8="",C8=""),"",C8/B8*100)</f>
        <v/>
      </c>
      <c r="F8" s="4">
        <f>IF(OR(C8="",D8=""),"",D8/C8*100)</f>
        <v/>
      </c>
      <c r="G8" s="2" t="n">
        <v>3841</v>
      </c>
      <c r="H8" s="2" t="n">
        <v>2354</v>
      </c>
      <c r="I8" s="2" t="n">
        <v>2204</v>
      </c>
      <c r="J8" s="4">
        <f>IF(OR(G8="",H8=""),"",H8/G8*100)</f>
        <v/>
      </c>
      <c r="K8" s="4">
        <f>IF(OR(H8="",I8=""),"",I8/H8*100)</f>
        <v/>
      </c>
    </row>
    <row r="9">
      <c r="A9" s="3" t="inlineStr">
        <is>
          <t>Минская область</t>
        </is>
      </c>
      <c r="B9" s="2" t="n">
        <v>1595</v>
      </c>
      <c r="C9" s="2" t="n">
        <v>1529</v>
      </c>
      <c r="D9" s="2" t="n">
        <v>1776</v>
      </c>
      <c r="E9" s="4">
        <f>IF(OR(B9="",C9=""),"",C9/B9*100)</f>
        <v/>
      </c>
      <c r="F9" s="4">
        <f>IF(OR(C9="",D9=""),"",D9/C9*100)</f>
        <v/>
      </c>
      <c r="G9" s="2" t="n">
        <v>5433</v>
      </c>
      <c r="H9" s="2" t="n">
        <v>4001</v>
      </c>
      <c r="I9" s="2" t="n">
        <v>4441</v>
      </c>
      <c r="J9" s="4">
        <f>IF(OR(G9="",H9=""),"",H9/G9*100)</f>
        <v/>
      </c>
      <c r="K9" s="4">
        <f>IF(OR(H9="",I9=""),"",I9/H9*100)</f>
        <v/>
      </c>
    </row>
    <row r="10">
      <c r="A10" s="3" t="inlineStr">
        <is>
          <t>Могилевская область</t>
        </is>
      </c>
      <c r="B10" s="2" t="n">
        <v>586</v>
      </c>
      <c r="C10" s="2" t="n">
        <v>542</v>
      </c>
      <c r="D10" s="2" t="n">
        <v>741</v>
      </c>
      <c r="E10" s="4">
        <f>IF(OR(B10="",C10=""),"",C10/B10*100)</f>
        <v/>
      </c>
      <c r="F10" s="4">
        <f>IF(OR(C10="",D10=""),"",D10/C10*100)</f>
        <v/>
      </c>
      <c r="G10" s="2" t="n">
        <v>3055</v>
      </c>
      <c r="H10" s="2" t="n">
        <v>2031</v>
      </c>
      <c r="I10" s="2" t="n">
        <v>1968</v>
      </c>
      <c r="J10" s="4">
        <f>IF(OR(G10="",H10=""),"",H10/G10*100)</f>
        <v/>
      </c>
      <c r="K10" s="4">
        <f>IF(OR(H10="",I10=""),"",I10/H10*100)</f>
        <v/>
      </c>
    </row>
    <row r="11">
      <c r="A11" s="3" t="inlineStr">
        <is>
          <t>Минск</t>
        </is>
      </c>
      <c r="B11" s="2" t="n">
        <v>4851</v>
      </c>
      <c r="C11" s="2" t="n">
        <v>5101</v>
      </c>
      <c r="D11" s="2" t="n">
        <v>6277</v>
      </c>
      <c r="E11" s="4">
        <f>IF(OR(B11="",C11=""),"",C11/B11*100)</f>
        <v/>
      </c>
      <c r="F11" s="4">
        <f>IF(OR(C11="",D11=""),"",D11/C11*100)</f>
        <v/>
      </c>
      <c r="G11" s="2" t="n">
        <v>5905</v>
      </c>
      <c r="H11" s="2" t="n"/>
      <c r="I11" s="2" t="n"/>
      <c r="J11" s="4">
        <f>IF(OR(G11="",H11=""),"",H11/G11*100)</f>
        <v/>
      </c>
      <c r="K11" s="4">
        <f>IF(OR(H11="",I11=""),"",I11/H11*100)</f>
        <v/>
      </c>
    </row>
    <row r="80" ht="15.95" customHeight="1">
      <c r="A80" s="18" t="inlineStr">
        <is>
          <t>Выводы по таблице</t>
        </is>
      </c>
    </row>
    <row r="81">
      <c r="A81" s="19" t="inlineStr">
        <is>
          <t>1. Общее число зарегистрированных субъектов хозяйствования сократилось с 38 778 в 2021 г. до 25 329 в 2022 г. (на 34,7 %), в 2023 г. выросло до 28 076 (на 10,8 %), но уровня 2021 г. не достигло.</t>
        </is>
      </c>
    </row>
    <row r="82">
      <c r="A82" s="19" t="inlineStr">
        <is>
          <t>2. Сокращение полностью обеспечено индивидуальными предпринимателями: 29 070 в 2021 г., 15 498 в 2022 г. (53,3 % к предыдущему году), 15 939 в 2023 г. (102,8 %).</t>
        </is>
      </c>
    </row>
    <row r="83">
      <c r="A83" s="19" t="inlineStr">
        <is>
          <t>3. Число зарегистрированных юридических лиц, напротив, устойчиво росло: 9 708, затем 9 831 (101,3 %) и 12 137 (123,5 %). В 2023 г. юридических лиц зарегистрировано на 25,0 % больше, чем в 2021 г.</t>
        </is>
      </c>
    </row>
    <row r="84">
      <c r="A84" s="19" t="inlineStr">
        <is>
          <t>4. В 2021 г. на одно юридическое лицо приходилось около трёх вновь зарегистрированных ИП, в 2023 г. — лишь 1,3. Происходит перераспределение в пользу юридических лиц, прежде всего обществ с ограниченной ответственностью.</t>
        </is>
      </c>
    </row>
    <row r="85">
      <c r="A85" s="19" t="inlineStr">
        <is>
          <t>5. Лидером по регистрации юридических лиц остаётся г. Минск: 4 851, 5 101 и 6 277 единиц; его доля в общем числе зарегистрированных ЮЛ выросла с 50,0 % до 51,7 %.</t>
        </is>
      </c>
    </row>
    <row r="86">
      <c r="A86" s="19" t="inlineStr">
        <is>
          <t>6. Среди областей наибольшие показатели у Минской области (1 595, 1 529 и 1 776 ЮЛ); наименьшие в 2021 г. — у Витебской и Могилёвской поровну (по 586 ЮЛ), в 2022 и 2023 гг. — у Могилёвской (542 и 741 ЮЛ).</t>
        </is>
      </c>
    </row>
    <row r="87">
      <c r="A87" s="19" t="inlineStr">
        <is>
          <t>7. Для создаваемой организации выводы подтверждают правильность решений: форма юридического лица (ООО) соответствует растущему сегменту, а регистрация в г. Минске — регионе с наибольшим числом регистраций.</t>
        </is>
      </c>
    </row>
    <row r="89">
      <c r="A89" s="6" t="n"/>
    </row>
    <row r="90">
      <c r="A90" s="18" t="inlineStr">
        <is>
          <t>Примечания к источнику данных</t>
        </is>
      </c>
    </row>
    <row r="91">
      <c r="A91" s="20" t="inlineStr">
        <is>
          <t>* Сумма по регионам и г. Минску меньше итога по ЮЛ на 48 (2021 г.), 27 (2022 г.) и 25 (2023 г.) единиц — это юридические лица, зарегистрированные Национальным банком, Министерством финансов, Министерством юстиции и главными управлениями юстиции.</t>
        </is>
      </c>
    </row>
    <row r="92">
      <c r="A92" s="20" t="inlineStr">
        <is>
          <t>** По ИП за 2022 и 2023 гг. данные по г. Минску в источнике не приведены: сумма по шести областям уже равна итогу по республике. Ячейки оставлены пустыми.</t>
        </is>
      </c>
    </row>
  </sheetData>
  <mergeCells count="2">
    <mergeCell ref="B2:F2"/>
    <mergeCell ref="G2:K2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E12" sqref="E12"/>
    </sheetView>
  </sheetViews>
  <sheetFormatPr baseColWidth="8" defaultColWidth="8.85546875" defaultRowHeight="15"/>
  <cols>
    <col width="35" customWidth="1" min="1" max="1"/>
    <col width="12.140625" customWidth="1" min="5" max="5"/>
    <col width="12.42578125" customWidth="1" min="6" max="6"/>
  </cols>
  <sheetData>
    <row r="1">
      <c r="A1" s="1" t="inlineStr">
        <is>
          <t>Число зарегистрированных юридических лиц по организационно-правовым формам</t>
        </is>
      </c>
    </row>
    <row r="2">
      <c r="A2" s="3" t="inlineStr">
        <is>
          <t>Формы</t>
        </is>
      </c>
      <c r="B2" s="17" t="n">
        <v>2021</v>
      </c>
      <c r="C2" s="17" t="n">
        <v>2022</v>
      </c>
      <c r="D2" s="17" t="n">
        <v>2023</v>
      </c>
      <c r="E2" s="17" t="inlineStr">
        <is>
          <t>2022/2021, %</t>
        </is>
      </c>
      <c r="F2" s="17" t="inlineStr">
        <is>
          <t>2023/2022, %</t>
        </is>
      </c>
    </row>
    <row r="3">
      <c r="A3" s="2" t="inlineStr">
        <is>
          <t>ООО</t>
        </is>
      </c>
      <c r="B3" s="2" t="n">
        <v>7968</v>
      </c>
      <c r="C3" s="2" t="n">
        <v>8113</v>
      </c>
      <c r="D3" s="2" t="n">
        <v>10346</v>
      </c>
      <c r="E3" s="4">
        <f>IF(OR(B3="",C3=""),"",C3/B3*100)</f>
        <v/>
      </c>
      <c r="F3" s="4">
        <f>IF(OR(C3="",D3=""),"",D3/C3*100)</f>
        <v/>
      </c>
    </row>
    <row r="4">
      <c r="A4" s="2" t="inlineStr">
        <is>
          <t>ОДО</t>
        </is>
      </c>
      <c r="B4" s="2" t="n">
        <v>3</v>
      </c>
      <c r="C4" s="2" t="n">
        <v>6</v>
      </c>
      <c r="D4" s="2" t="n">
        <v>12</v>
      </c>
      <c r="E4" s="4">
        <f>IF(OR(B4="",C4=""),"",C4/B4*100)</f>
        <v/>
      </c>
      <c r="F4" s="4">
        <f>IF(OR(C4="",D4=""),"",D4/C4*100)</f>
        <v/>
      </c>
    </row>
    <row r="5">
      <c r="A5" s="2" t="inlineStr">
        <is>
          <t xml:space="preserve">УП </t>
        </is>
      </c>
      <c r="B5" s="2" t="n">
        <v>856</v>
      </c>
      <c r="C5" s="2" t="n">
        <v>950</v>
      </c>
      <c r="D5" s="2" t="n">
        <v>1159</v>
      </c>
      <c r="E5" s="4">
        <f>IF(OR(B5="",C5=""),"",C5/B5*100)</f>
        <v/>
      </c>
      <c r="F5" s="4">
        <f>IF(OR(C5="",D5=""),"",D5/C5*100)</f>
        <v/>
      </c>
    </row>
    <row r="6">
      <c r="A6" s="2" t="inlineStr">
        <is>
          <t>ЗАО и ОАО</t>
        </is>
      </c>
      <c r="B6" s="2" t="n">
        <v>47</v>
      </c>
      <c r="C6" s="2" t="n">
        <v>29</v>
      </c>
      <c r="D6" s="2" t="n">
        <v>35</v>
      </c>
      <c r="E6" s="4">
        <f>IF(OR(B6="",C6=""),"",C6/B6*100)</f>
        <v/>
      </c>
      <c r="F6" s="4">
        <f>IF(OR(C6="",D6=""),"",D6/C6*100)</f>
        <v/>
      </c>
    </row>
    <row r="7">
      <c r="A7" s="2" t="inlineStr">
        <is>
          <t>Учреждения</t>
        </is>
      </c>
      <c r="B7" s="2" t="n">
        <v>130</v>
      </c>
      <c r="C7" s="2" t="n">
        <v>86</v>
      </c>
      <c r="D7" s="2" t="n">
        <v>69</v>
      </c>
      <c r="E7" s="4">
        <f>IF(OR(B7="",C7=""),"",C7/B7*100)</f>
        <v/>
      </c>
      <c r="F7" s="4">
        <f>IF(OR(C7="",D7=""),"",D7/C7*100)</f>
        <v/>
      </c>
    </row>
    <row r="8">
      <c r="A8" s="2" t="inlineStr">
        <is>
          <t>КФХ</t>
        </is>
      </c>
      <c r="B8" s="2" t="n">
        <v>309</v>
      </c>
      <c r="C8" s="2" t="n">
        <v>285</v>
      </c>
      <c r="D8" s="2" t="n">
        <v>210</v>
      </c>
      <c r="E8" s="4">
        <f>IF(OR(B8="",C8=""),"",C8/B8*100)</f>
        <v/>
      </c>
      <c r="F8" s="4">
        <f>IF(OR(C8="",D8=""),"",D8/C8*100)</f>
        <v/>
      </c>
    </row>
    <row r="9">
      <c r="A9" s="2" t="inlineStr">
        <is>
          <t>Иные</t>
        </is>
      </c>
      <c r="B9" s="2" t="n">
        <v>395</v>
      </c>
      <c r="C9" s="2" t="n">
        <v>362</v>
      </c>
      <c r="D9" s="2" t="n">
        <v>306</v>
      </c>
      <c r="E9" s="4">
        <f>IF(OR(B9="",C9=""),"",C9/B9*100)</f>
        <v/>
      </c>
      <c r="F9" s="4">
        <f>IF(OR(C9="",D9=""),"",D9/C9*100)</f>
        <v/>
      </c>
    </row>
    <row r="10">
      <c r="A10" s="11" t="inlineStr">
        <is>
          <t>Всего</t>
        </is>
      </c>
      <c r="B10" s="11">
        <f>SUM(B3:B9)</f>
        <v/>
      </c>
      <c r="C10" s="11">
        <f>SUM(C3:C9)</f>
        <v/>
      </c>
      <c r="D10" s="11">
        <f>SUM(D3:D9)</f>
        <v/>
      </c>
      <c r="E10" s="12">
        <f>IF(OR(B10="",C10=""),"",C10/B10*100)</f>
        <v/>
      </c>
      <c r="F10" s="12">
        <f>IF(OR(C10="",D10=""),"",D10/C10*100)</f>
        <v/>
      </c>
    </row>
    <row r="12">
      <c r="A12" s="11" t="inlineStr">
        <is>
          <t>Доля ООО в общем числе зарегистрированных ЮЛ</t>
        </is>
      </c>
    </row>
    <row r="13">
      <c r="B13" s="11" t="n">
        <v>2021</v>
      </c>
      <c r="C13" s="11" t="n">
        <v>2022</v>
      </c>
      <c r="D13" s="11" t="n">
        <v>2023</v>
      </c>
    </row>
    <row r="14">
      <c r="A14" t="inlineStr">
        <is>
          <t>Доля ООО, %</t>
        </is>
      </c>
      <c r="B14" s="13">
        <f>B3/B$10*100</f>
        <v/>
      </c>
      <c r="C14" s="13">
        <f>C3/C$10*100</f>
        <v/>
      </c>
      <c r="D14" s="13">
        <f>D3/D$10*100</f>
        <v/>
      </c>
    </row>
    <row r="76" ht="15.75" customHeight="1">
      <c r="A76" s="10" t="inlineStr">
        <is>
          <t>Выводы по таблице</t>
        </is>
      </c>
    </row>
    <row r="77">
      <c r="A77" t="inlineStr">
        <is>
          <t>1. Абсолютным лидером среди организационно-правовых форм является ООО: 7 968 регистраций в 2021 г., 8 113 в 2022 г. (101,8 %) и 10 346 в 2023 г. (127,5 %). За три года число зарегистрированных ООО выросло на 29,8 %.</t>
        </is>
      </c>
    </row>
    <row r="78">
      <c r="A78" t="inlineStr">
        <is>
          <t>2. Доля ООО в общем числе зарегистрированных юридических лиц растёт третий год подряд: 82,1 % в 2021 г., 82,5 % в 2022 г. и 85,2 % в 2023 г.</t>
        </is>
      </c>
    </row>
    <row r="79">
      <c r="A79" t="inlineStr">
        <is>
          <t>3. Второй по распространённости формой остаются унитарные предприятия: 856, 950 (111,0 %) и 1 159 (122,0 %). Вместе ООО и УП в 2023 г. дали 94,8 % всех зарегистрированных юридических лиц.</t>
        </is>
      </c>
    </row>
    <row r="80">
      <c r="A80" t="inlineStr">
        <is>
          <t>4. Остальные формы единичны и в основном сокращаются: учреждения 130 → 86 (66,2 %) → 69 (80,2 %), КФХ 309 → 285 (92,2 %) → 210 (73,7 %), иные 395 → 362 (91,6 %) → 306 (84,5 %).</t>
        </is>
      </c>
    </row>
    <row r="81">
      <c r="A81" t="inlineStr">
        <is>
          <t>5. ОДО практически не используется: 3, 6 и 12 регистраций в год, около 0,1 % от общего числа. Акционерные общества также единичны: 47, 29 и 35 — 0,3 % в 2023 г. Это подтверждает, что ООО выбрано не случайно, а как рабочая форма, тогда как ОДО и АО на практике почти не востребованы.</t>
        </is>
      </c>
    </row>
    <row r="82">
      <c r="A82" t="inlineStr">
        <is>
          <t>6. Сумма по всем формам в точности совпадает с итогом по юридическим лицам из листа «Число зарегистрированных» (9 708, 9 831 и 12 137), что подтверждает сопоставимость данных двух таблиц.</t>
        </is>
      </c>
    </row>
    <row r="83">
      <c r="A83" t="inlineStr">
        <is>
          <t>7. Вывод для создаваемой организации: выбор формы ООО для ООО «Тёплый мякиш» соответствует преобладающей практике — на эту форму приходится более 85 % всех регистраций юридических лиц, и её доля продолжает расти.</t>
        </is>
      </c>
    </row>
    <row r="85">
      <c r="A85" s="11" t="inlineStr">
        <is>
          <t>Примечание к источнику данных</t>
        </is>
      </c>
    </row>
    <row r="86">
      <c r="A86" t="inlineStr">
        <is>
          <t>* По данным источника за 2024 г. (в таблицу не включены, так как остальные листы построены за 2021–2023 гг.): ООО — 12 971, ОДО — 6, УП — 1 656, ЗАО и ОАО — 41, учреждения — 97, КФХ — 129, иные — 257. Доля ООО — 85,6 %, то есть тенденция сохраняется.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tabSelected="1" topLeftCell="A28" zoomScale="125" workbookViewId="0">
      <selection activeCell="G24" sqref="G24"/>
    </sheetView>
  </sheetViews>
  <sheetFormatPr baseColWidth="8" defaultColWidth="8.85546875" defaultRowHeight="15"/>
  <cols>
    <col width="34" customWidth="1" min="1" max="1"/>
    <col width="13" customWidth="1" min="5" max="5"/>
    <col width="12.28515625" customWidth="1" min="6" max="6"/>
    <col width="12.42578125" customWidth="1" min="7" max="7"/>
  </cols>
  <sheetData>
    <row r="1">
      <c r="A1" s="1" t="inlineStr">
        <is>
          <t>Согласование наименований ЮЛ</t>
        </is>
      </c>
    </row>
    <row r="2">
      <c r="A2" s="2" t="n"/>
      <c r="B2" s="17" t="n">
        <v>2021</v>
      </c>
      <c r="C2" s="17" t="n">
        <v>2022</v>
      </c>
      <c r="D2" s="17" t="n">
        <v>2023</v>
      </c>
      <c r="E2" s="17" t="inlineStr">
        <is>
          <t>2022/2021, %</t>
        </is>
      </c>
      <c r="F2" s="17" t="inlineStr">
        <is>
          <t>2023/2022, %</t>
        </is>
      </c>
      <c r="G2" s="3" t="inlineStr">
        <is>
          <t>2023/2015, %</t>
        </is>
      </c>
      <c r="H2" s="6" t="n">
        <v>2015</v>
      </c>
      <c r="I2" t="inlineStr">
        <is>
          <t>← база 2015 г. для колонки «2023/2015, %»</t>
        </is>
      </c>
    </row>
    <row r="3">
      <c r="A3" s="3" t="inlineStr">
        <is>
          <t>В бумажном виде</t>
        </is>
      </c>
      <c r="B3" s="2" t="n">
        <v>2293</v>
      </c>
      <c r="C3" s="2" t="n">
        <v>3127</v>
      </c>
      <c r="D3" s="2" t="n">
        <v>2718</v>
      </c>
      <c r="E3" s="4">
        <f>IF(OR(B3="",C3=""),"",C3/B3*100)</f>
        <v/>
      </c>
      <c r="F3" s="4">
        <f>IF(OR(C3="",D3=""),"",D3/C3*100)</f>
        <v/>
      </c>
      <c r="G3" s="4">
        <f>IF(OR(D3="",H3=""),"",D3/H3*100)</f>
        <v/>
      </c>
      <c r="H3" t="n">
        <v>10670</v>
      </c>
    </row>
    <row r="4">
      <c r="A4" s="3" t="inlineStr">
        <is>
          <t>В электронном виде</t>
        </is>
      </c>
      <c r="B4" s="2" t="n">
        <v>25476</v>
      </c>
      <c r="C4" s="2" t="n">
        <v>33359</v>
      </c>
      <c r="D4" s="2" t="n">
        <v>31316</v>
      </c>
      <c r="E4" s="4">
        <f>IF(OR(B4="",C4=""),"",C4/B4*100)</f>
        <v/>
      </c>
      <c r="F4" s="4">
        <f>IF(OR(C4="",D4=""),"",D4/C4*100)</f>
        <v/>
      </c>
      <c r="G4" s="4">
        <f>IF(OR(D4="",H4=""),"",D4/H4*100)</f>
        <v/>
      </c>
      <c r="H4" t="n">
        <v>14167</v>
      </c>
    </row>
    <row r="7">
      <c r="A7" s="1" t="inlineStr">
        <is>
          <t>Электронная регистрация и ликвидация субъектов хозяйствования</t>
        </is>
      </c>
    </row>
    <row r="8">
      <c r="A8" s="2" t="n"/>
      <c r="B8" s="17" t="n">
        <v>2021</v>
      </c>
      <c r="C8" s="17" t="n">
        <v>2022</v>
      </c>
      <c r="D8" s="17" t="n">
        <v>2023</v>
      </c>
      <c r="E8" s="17" t="inlineStr">
        <is>
          <t>2022/2021, %</t>
        </is>
      </c>
      <c r="F8" s="17" t="inlineStr">
        <is>
          <t>2023/2022, %</t>
        </is>
      </c>
    </row>
    <row r="9">
      <c r="A9" s="2" t="inlineStr">
        <is>
          <t>Регистрация ЮЛ, в т.ч. изменений</t>
        </is>
      </c>
      <c r="B9" s="2" t="n">
        <v>3811</v>
      </c>
      <c r="C9" s="2" t="n">
        <v>4043</v>
      </c>
      <c r="D9" s="2" t="n">
        <v>4439</v>
      </c>
      <c r="E9" s="4">
        <f>IF(OR(B9="",C9=""),"",C9/B9*100)</f>
        <v/>
      </c>
      <c r="F9" s="4">
        <f>IF(OR(C9="",D9=""),"",D9/C9*100)</f>
        <v/>
      </c>
    </row>
    <row r="10">
      <c r="A10" s="2" t="inlineStr">
        <is>
          <t>Регистрация ИП, в т.ч. изменений</t>
        </is>
      </c>
      <c r="B10" s="2" t="n">
        <v>875</v>
      </c>
      <c r="C10" s="2" t="n">
        <v>868</v>
      </c>
      <c r="D10" s="2" t="n">
        <v>692</v>
      </c>
      <c r="E10" s="4">
        <f>IF(OR(B10="",C10=""),"",C10/B10*100)</f>
        <v/>
      </c>
      <c r="F10" s="4">
        <f>IF(OR(C10="",D10=""),"",D10/C10*100)</f>
        <v/>
      </c>
    </row>
    <row r="11">
      <c r="A11" s="2" t="inlineStr">
        <is>
          <t>Уведомления</t>
        </is>
      </c>
      <c r="B11" s="2" t="n">
        <v>5419</v>
      </c>
      <c r="C11" s="2" t="n">
        <v>6221</v>
      </c>
      <c r="D11" s="2" t="n">
        <v>7416</v>
      </c>
      <c r="E11" s="4">
        <f>IF(OR(B11="",C11=""),"",C11/B11*100)</f>
        <v/>
      </c>
      <c r="F11" s="4">
        <f>IF(OR(C11="",D11=""),"",D11/C11*100)</f>
        <v/>
      </c>
    </row>
    <row r="12">
      <c r="A12" s="2" t="inlineStr">
        <is>
          <t>Ликвидация ЮЛ, ИП</t>
        </is>
      </c>
      <c r="B12" s="2" t="n">
        <v>1435</v>
      </c>
      <c r="C12" s="2" t="n">
        <v>1878</v>
      </c>
      <c r="D12" s="2" t="n">
        <v>1493</v>
      </c>
      <c r="E12" s="4">
        <f>IF(OR(B12="",C12=""),"",C12/B12*100)</f>
        <v/>
      </c>
      <c r="F12" s="4">
        <f>IF(OR(C12="",D12=""),"",D12/C12*100)</f>
        <v/>
      </c>
    </row>
    <row r="15">
      <c r="A15" s="1" t="inlineStr">
        <is>
          <t>Предоставление информации из ЕГР</t>
        </is>
      </c>
    </row>
    <row r="16">
      <c r="A16" s="2" t="n"/>
      <c r="B16" s="17" t="n">
        <v>2021</v>
      </c>
      <c r="C16" s="17" t="n">
        <v>2022</v>
      </c>
      <c r="D16" s="17" t="n">
        <v>2023</v>
      </c>
      <c r="E16" s="17" t="inlineStr">
        <is>
          <t>2022/2021, %</t>
        </is>
      </c>
      <c r="F16" s="17" t="inlineStr">
        <is>
          <t>2023/2022, %</t>
        </is>
      </c>
    </row>
    <row r="17">
      <c r="A17" s="2" t="inlineStr">
        <is>
          <t>Общее количество выписок</t>
        </is>
      </c>
      <c r="B17" s="2" t="n">
        <v>26042</v>
      </c>
      <c r="C17" s="2" t="n">
        <v>24411</v>
      </c>
      <c r="D17" s="2" t="n">
        <v>24917</v>
      </c>
      <c r="E17" s="4">
        <f>IF(OR(B17="",C17=""),"",C17/B17*100)</f>
        <v/>
      </c>
      <c r="F17" s="4">
        <f>IF(OR(C17="",D17=""),"",D17/C17*100)</f>
        <v/>
      </c>
    </row>
    <row r="18">
      <c r="A18" s="2" t="inlineStr">
        <is>
          <t>Доля выписок в эл виде</t>
        </is>
      </c>
      <c r="B18" s="7" t="n">
        <v>0.66</v>
      </c>
      <c r="C18" s="7" t="n">
        <v>0.65</v>
      </c>
      <c r="D18" s="7" t="n">
        <v>0.66</v>
      </c>
      <c r="E18" s="2" t="n"/>
      <c r="F18" s="2" t="n"/>
    </row>
    <row r="21">
      <c r="A21" s="2" t="n"/>
      <c r="B21" s="2" t="n">
        <v>2021</v>
      </c>
      <c r="C21" s="2" t="n">
        <v>2022</v>
      </c>
      <c r="D21" s="2" t="n">
        <v>2023</v>
      </c>
    </row>
    <row r="22">
      <c r="A22" s="2" t="inlineStr">
        <is>
          <t>Выписок в эл виде</t>
        </is>
      </c>
      <c r="B22" s="9">
        <f>B17*B18</f>
        <v/>
      </c>
      <c r="C22" s="9">
        <f>C17*C18</f>
        <v/>
      </c>
      <c r="D22" s="9">
        <f>D17*D18</f>
        <v/>
      </c>
    </row>
    <row r="23">
      <c r="A23" s="2" t="inlineStr">
        <is>
          <t>Общее количество выписок</t>
        </is>
      </c>
      <c r="B23" s="2">
        <f>B17</f>
        <v/>
      </c>
      <c r="C23" s="2">
        <f>C17</f>
        <v/>
      </c>
      <c r="D23" s="2">
        <f>D17</f>
        <v/>
      </c>
    </row>
    <row r="86" ht="15.95" customHeight="1">
      <c r="A86" s="10" t="inlineStr">
        <is>
          <t>Выводы по таблицам</t>
        </is>
      </c>
    </row>
    <row r="87">
      <c r="A87" t="inlineStr">
        <is>
          <t>1. Согласование наименований почти полностью перешло в электронную форму: её доля составила 91,7 % в 2021 г., 91,4 % в 2022 г. и 92,0 % в 2023 г.</t>
        </is>
      </c>
    </row>
    <row r="88">
      <c r="A88" t="inlineStr">
        <is>
          <t>2. По сравнению с 2015 г. тенденции противоположны: число согласований в бумажном виде сократилось до 25,5 % от уровня 2015 г., а в электронном — выросло до 221,0 %, то есть более чем в два раза.</t>
        </is>
      </c>
    </row>
    <row r="89">
      <c r="A89" t="inlineStr">
        <is>
          <t>3. В 2022 г. наблюдался всплеск обращений (бумажные 136,4 %, электронные 130,9 % к 2021 г.), в 2023 г. показатели снизились (86,9 % и 93,9 % соответственно).</t>
        </is>
      </c>
    </row>
    <row r="90">
      <c r="A90" t="inlineStr">
        <is>
          <t>4. Электронная регистрация юридических лиц растёт непрерывно: 3 811, 4 043 (106,1 %) и 4 439 (109,8 %) — прирост за три года составил 16,5 %.</t>
        </is>
      </c>
    </row>
    <row r="91">
      <c r="A91" t="inlineStr">
        <is>
          <t>5. Электронная регистрация индивидуальных предпринимателей, напротив, сокращается: 875, 868 (99,2 %) и 692 (79,7 %) — падение на 20,9 % за три года. Это согласуется с данными первой таблицы о сокращении регистрации ИП.</t>
        </is>
      </c>
    </row>
    <row r="92">
      <c r="A92" t="inlineStr">
        <is>
          <t>6. Наиболее быстро растёт подача уведомлений: 5 419, 6 221 (114,8 %) и 7 416 (119,2 %) — прирост 36,9 % за три года.</t>
        </is>
      </c>
    </row>
    <row r="93">
      <c r="A93" t="inlineStr">
        <is>
          <t>7. Общее количество выписок из ЕГР стабильно (26 042, 24 411 и 24 917), при этом доля выписок в электронном виде не меняется и составляет около 65–66 %.</t>
        </is>
      </c>
    </row>
    <row r="94">
      <c r="A94" t="inlineStr">
        <is>
          <t>8. Вывод для создаваемой организации: ООО «Тёплый мякиш» целесообразно регистрировать в электронном виде через веб-портал ЕГР — это преобладающая форма обращения: на неё приходится около 92 % согласований наименований, а число электронных регистраций юридических лиц растёт третий год подряд.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2024-01-30T06:45:04Z</dcterms:created>
  <dcterms:modified xmlns:dcterms="http://purl.org/dc/terms/" xmlns:xsi="http://www.w3.org/2001/XMLSchema-instance" xsi:type="dcterms:W3CDTF">2026-10-18T19:43:37Z</dcterms:modified>
  <cp:lastModifiedBy>Vi U</cp:lastModifiedBy>
</cp:coreProperties>
</file>